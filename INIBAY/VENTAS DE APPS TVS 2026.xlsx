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ITE TV" sheetId="1" r:id="rId5"/>
    <sheet state="visible" name="FUTURE TV" sheetId="2" r:id="rId6"/>
  </sheets>
  <definedNames/>
  <calcPr/>
</workbook>
</file>

<file path=xl/sharedStrings.xml><?xml version="1.0" encoding="utf-8"?>
<sst xmlns="http://schemas.openxmlformats.org/spreadsheetml/2006/main" count="255" uniqueCount="125">
  <si>
    <t>CLIENTES</t>
  </si>
  <si>
    <t>CREDITOS</t>
  </si>
  <si>
    <t>ACTIVOS</t>
  </si>
  <si>
    <t>INACTIVOS</t>
  </si>
  <si>
    <t>COMPRADOS</t>
  </si>
  <si>
    <t>USADOS</t>
  </si>
  <si>
    <t>DISPONIBLES</t>
  </si>
  <si>
    <t>EQUIPOS</t>
  </si>
  <si>
    <t>FIRE STICK</t>
  </si>
  <si>
    <t>ROKU</t>
  </si>
  <si>
    <t>ANDROID</t>
  </si>
  <si>
    <t>PAGOS</t>
  </si>
  <si>
    <t>TOTAL</t>
  </si>
  <si>
    <t>ESTATUS</t>
  </si>
  <si>
    <t>DEMO</t>
  </si>
  <si>
    <t>No CLIENTE</t>
  </si>
  <si>
    <t>NOMBRE DEL CLIENTE</t>
  </si>
  <si>
    <t>TELEFONO</t>
  </si>
  <si>
    <t>EQUIPO</t>
  </si>
  <si>
    <t>TV 1</t>
  </si>
  <si>
    <t>EQUIPO 2</t>
  </si>
  <si>
    <t>TV 2</t>
  </si>
  <si>
    <t>DETALLES</t>
  </si>
  <si>
    <t>FECHA DE ACTIVACION</t>
  </si>
  <si>
    <t>MESES ACTIVOS</t>
  </si>
  <si>
    <t>FECHA DE RENOVACION</t>
  </si>
  <si>
    <t>COSTO</t>
  </si>
  <si>
    <t>ENERO</t>
  </si>
  <si>
    <t>FEBRERO</t>
  </si>
  <si>
    <t>MARZO</t>
  </si>
  <si>
    <t>ELITE10001</t>
  </si>
  <si>
    <t>ROCIO GALLEGOS</t>
  </si>
  <si>
    <t>656 135 5355</t>
  </si>
  <si>
    <t>ELITE10002</t>
  </si>
  <si>
    <t>JOSE FABRIKO</t>
  </si>
  <si>
    <t>656 743 4655</t>
  </si>
  <si>
    <t>ELITE10003</t>
  </si>
  <si>
    <t>HERMANO JHONNY</t>
  </si>
  <si>
    <t>ELITE10004</t>
  </si>
  <si>
    <t>SARAI GUIJARRO</t>
  </si>
  <si>
    <t>657 214 3546</t>
  </si>
  <si>
    <t>ELITE10005</t>
  </si>
  <si>
    <t>HERMANO EDGARDO</t>
  </si>
  <si>
    <t>ELITE10006</t>
  </si>
  <si>
    <t>ELITE10007</t>
  </si>
  <si>
    <t>LUIS LARES</t>
  </si>
  <si>
    <t>656 328 4885</t>
  </si>
  <si>
    <t>ELITE10008</t>
  </si>
  <si>
    <t>EL VECINO FOTOPRIN</t>
  </si>
  <si>
    <t>656 299 9450</t>
  </si>
  <si>
    <t>ELITE10009</t>
  </si>
  <si>
    <t>Saúl Guadalupe Carrasco González</t>
  </si>
  <si>
    <t>(656) 591-6667</t>
  </si>
  <si>
    <t>ELITE10010</t>
  </si>
  <si>
    <t>CONTRERAS VALADEZ</t>
  </si>
  <si>
    <t>656 586 2108</t>
  </si>
  <si>
    <t>ELITE10011</t>
  </si>
  <si>
    <t>OMAR BARRIENTOS SECO</t>
  </si>
  <si>
    <t>656 310-3525</t>
  </si>
  <si>
    <t>ELITE10012</t>
  </si>
  <si>
    <t>ELITE10013</t>
  </si>
  <si>
    <t xml:space="preserve">MAYRA </t>
  </si>
  <si>
    <t>656 306 0225</t>
  </si>
  <si>
    <t>ELITE10014</t>
  </si>
  <si>
    <t>CARLOS PAYAN</t>
  </si>
  <si>
    <t>656 101 8157</t>
  </si>
  <si>
    <t>ELITE10015</t>
  </si>
  <si>
    <t>IVETH AVITIA RIVERA</t>
  </si>
  <si>
    <t>656 129 3225</t>
  </si>
  <si>
    <t>ELITE10016</t>
  </si>
  <si>
    <t>ARTURO LEAL</t>
  </si>
  <si>
    <t>656 269 4243</t>
  </si>
  <si>
    <t>ELITE10017</t>
  </si>
  <si>
    <t>PROFE CETIS</t>
  </si>
  <si>
    <t>656 202 2381</t>
  </si>
  <si>
    <t>ELITE10018</t>
  </si>
  <si>
    <t>DANIEL NERI</t>
  </si>
  <si>
    <t>656 375 2422</t>
  </si>
  <si>
    <t>ELITE10019</t>
  </si>
  <si>
    <t>EL VECINO FOTOPRINT E IVAN GAZ PRO</t>
  </si>
  <si>
    <t>ELITE10020</t>
  </si>
  <si>
    <t>EDGAR NERI</t>
  </si>
  <si>
    <t>656 441 5202</t>
  </si>
  <si>
    <t>ELITE10021</t>
  </si>
  <si>
    <t>JESUS AVITIA</t>
  </si>
  <si>
    <t>1 915 843 7113</t>
  </si>
  <si>
    <t>ELITE10022</t>
  </si>
  <si>
    <t>ROCIO SECO</t>
  </si>
  <si>
    <t xml:space="preserve"> 656 144 1986</t>
  </si>
  <si>
    <t>ELITE10023</t>
  </si>
  <si>
    <t>KARLA BUSTAMANTES</t>
  </si>
  <si>
    <t>656 769 1586</t>
  </si>
  <si>
    <t>ELITE10024</t>
  </si>
  <si>
    <t>BRENDA YANET TREJO</t>
  </si>
  <si>
    <t>656 834 1855</t>
  </si>
  <si>
    <t>ELITE10025</t>
  </si>
  <si>
    <t>VILLAREAL</t>
  </si>
  <si>
    <t xml:space="preserve"> 656 670 8181</t>
  </si>
  <si>
    <t>ELITE10026</t>
  </si>
  <si>
    <t>ELITE10027</t>
  </si>
  <si>
    <t>ELITE10028</t>
  </si>
  <si>
    <t>ELITE10029</t>
  </si>
  <si>
    <t>CLAUDIA CARRANZA</t>
  </si>
  <si>
    <t>656 285 8777</t>
  </si>
  <si>
    <t xml:space="preserve">  </t>
  </si>
  <si>
    <t>EQUIPO 3</t>
  </si>
  <si>
    <t>TV 3</t>
  </si>
  <si>
    <t>FUTURE10001</t>
  </si>
  <si>
    <t>RAMON CARRERA</t>
  </si>
  <si>
    <t>1 915 407 6023</t>
  </si>
  <si>
    <t>FUTURE10002</t>
  </si>
  <si>
    <t>FUTURE10003</t>
  </si>
  <si>
    <t>FUTURE10004</t>
  </si>
  <si>
    <t>FUTURE10005</t>
  </si>
  <si>
    <t>ADRIAN OVALLE (ramon carrera)</t>
  </si>
  <si>
    <t>vence hasta el 3  de marzo</t>
  </si>
  <si>
    <t>FUTURE10006</t>
  </si>
  <si>
    <t xml:space="preserve"> 656 375 2422</t>
  </si>
  <si>
    <t>FUTURE10007</t>
  </si>
  <si>
    <t>SANDRA CHAVEZ (ramon carrera)</t>
  </si>
  <si>
    <t>FUTURE10008</t>
  </si>
  <si>
    <t>LORENZO DOMINGUEZ(ramon carrera)</t>
  </si>
  <si>
    <t>FUTURE10009</t>
  </si>
  <si>
    <t>FUTURE10010</t>
  </si>
  <si>
    <t>GERRY (Ramon Carrera)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</si>
</sst>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.00_-;_-&quot;$&quot;* \-#,##0.00_-;_-&quot;$&quot;* &quot;-&quot;??_-;_-@"/>
    <numFmt numFmtId="165" formatCode="d/M/yyyy"/>
  </numFmts>
  <fonts count="15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5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b/>
      <sz val="16.0"/>
      <color rgb="FFFFFFFF"/>
      <name val="Arial"/>
      <scheme val="minor"/>
    </font>
    <font>
      <b/>
      <color rgb="FF000000"/>
      <name val="Arial"/>
      <scheme val="minor"/>
    </font>
    <font>
      <sz val="11.0"/>
      <color rgb="FF000000"/>
      <name val="Calibri"/>
    </font>
    <font>
      <color rgb="FF434343"/>
      <name val="Roboto"/>
    </font>
    <font>
      <b/>
      <color rgb="FFFFFFFF"/>
      <name val="Arial"/>
      <scheme val="minor"/>
    </font>
    <font>
      <color theme="1"/>
      <name val="Arial"/>
    </font>
    <font>
      <sz val="9.0"/>
      <color rgb="FF434343"/>
      <name val="Google Sans Mono"/>
    </font>
    <font>
      <color rgb="FFFFFFFF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4C1130"/>
        <bgColor rgb="FF4C1130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73763"/>
        <bgColor rgb="FF073763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1" xfId="0" applyAlignment="1" applyFill="1" applyFont="1" applyNumberForma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10" fontId="1" numFmtId="0" xfId="0" applyAlignment="1" applyFill="1" applyFont="1">
      <alignment horizontal="center" readingOrder="0"/>
    </xf>
    <xf borderId="0" fillId="11" fontId="3" numFmtId="0" xfId="0" applyAlignment="1" applyFill="1" applyFont="1">
      <alignment readingOrder="0"/>
    </xf>
    <xf borderId="0" fillId="12" fontId="5" numFmtId="1" xfId="0" applyAlignment="1" applyFill="1" applyFont="1" applyNumberFormat="1">
      <alignment horizontal="center" readingOrder="0"/>
    </xf>
    <xf borderId="0" fillId="13" fontId="3" numFmtId="0" xfId="0" applyAlignment="1" applyFill="1" applyFont="1">
      <alignment readingOrder="0"/>
    </xf>
    <xf borderId="0" fillId="14" fontId="5" numFmtId="1" xfId="0" applyAlignment="1" applyFill="1" applyFont="1" applyNumberFormat="1">
      <alignment horizontal="center" readingOrder="0"/>
    </xf>
    <xf borderId="0" fillId="4" fontId="3" numFmtId="0" xfId="0" applyAlignment="1" applyFont="1">
      <alignment readingOrder="0"/>
    </xf>
    <xf borderId="0" fillId="7" fontId="5" numFmtId="1" xfId="0" applyAlignment="1" applyFont="1" applyNumberFormat="1">
      <alignment horizontal="center" readingOrder="0"/>
    </xf>
    <xf borderId="0" fillId="4" fontId="7" numFmtId="0" xfId="0" applyAlignment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6" fontId="5" numFmtId="164" xfId="0" applyFill="1" applyFont="1" applyNumberFormat="1"/>
    <xf borderId="0" fillId="17" fontId="5" numFmtId="164" xfId="0" applyFill="1" applyFont="1" applyNumberFormat="1"/>
    <xf borderId="0" fillId="14" fontId="5" numFmtId="164" xfId="0" applyFont="1" applyNumberFormat="1"/>
    <xf borderId="0" fillId="12" fontId="5" numFmtId="164" xfId="0" applyFont="1" applyNumberFormat="1"/>
    <xf borderId="0" fillId="0" fontId="8" numFmtId="0" xfId="0" applyAlignment="1" applyFon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9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1" fillId="18" fontId="10" numFmtId="165" xfId="0" applyAlignment="1" applyBorder="1" applyFill="1" applyFont="1" applyNumberFormat="1">
      <alignment horizontal="right" readingOrder="0" shrinkToFit="0" vertical="center" wrapText="0"/>
    </xf>
    <xf borderId="1" fillId="18" fontId="10" numFmtId="0" xfId="0" applyAlignment="1" applyBorder="1" applyFont="1">
      <alignment horizontal="right" shrinkToFit="0" vertical="center" wrapText="0"/>
    </xf>
    <xf borderId="1" fillId="18" fontId="10" numFmtId="165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17" fontId="5" numFmtId="0" xfId="0" applyAlignment="1" applyFont="1">
      <alignment horizontal="center" readingOrder="0" shrinkToFit="0" vertical="center" wrapText="0"/>
    </xf>
    <xf borderId="0" fillId="14" fontId="5" numFmtId="0" xfId="0" applyAlignment="1" applyFont="1">
      <alignment horizontal="center" readingOrder="0" shrinkToFit="0" vertical="center" wrapText="0"/>
    </xf>
    <xf borderId="0" fillId="12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2" fillId="19" fontId="10" numFmtId="165" xfId="0" applyAlignment="1" applyBorder="1" applyFill="1" applyFont="1" applyNumberFormat="1">
      <alignment horizontal="right" readingOrder="0" shrinkToFit="0" vertical="center" wrapText="0"/>
    </xf>
    <xf borderId="2" fillId="19" fontId="10" numFmtId="0" xfId="0" applyAlignment="1" applyBorder="1" applyFont="1">
      <alignment horizontal="right" shrinkToFit="0" vertical="center" wrapText="0"/>
    </xf>
    <xf borderId="2" fillId="19" fontId="10" numFmtId="165" xfId="0" applyAlignment="1" applyBorder="1" applyFont="1" applyNumberFormat="1">
      <alignment horizontal="right" shrinkToFit="0" vertical="center" wrapText="0"/>
    </xf>
    <xf borderId="0" fillId="12" fontId="5" numFmtId="49" xfId="0" applyAlignment="1" applyFont="1" applyNumberFormat="1">
      <alignment readingOrder="0" shrinkToFit="0" vertical="center" wrapText="0"/>
    </xf>
    <xf borderId="0" fillId="12" fontId="9" numFmtId="49" xfId="0" applyAlignment="1" applyFont="1" applyNumberFormat="1">
      <alignment horizontal="center" readingOrder="0" shrinkToFit="0" vertical="center" wrapText="0"/>
    </xf>
    <xf borderId="0" fillId="12" fontId="5" numFmtId="0" xfId="0" applyAlignment="1" applyFont="1">
      <alignment readingOrder="0" shrinkToFit="0" vertical="center" wrapText="0"/>
    </xf>
    <xf borderId="1" fillId="12" fontId="10" numFmtId="165" xfId="0" applyAlignment="1" applyBorder="1" applyFont="1" applyNumberFormat="1">
      <alignment horizontal="right" readingOrder="0" shrinkToFit="0" vertical="center" wrapText="0"/>
    </xf>
    <xf borderId="1" fillId="12" fontId="10" numFmtId="0" xfId="0" applyAlignment="1" applyBorder="1" applyFont="1">
      <alignment horizontal="right" shrinkToFit="0" vertical="center" wrapText="0"/>
    </xf>
    <xf borderId="2" fillId="12" fontId="10" numFmtId="165" xfId="0" applyAlignment="1" applyBorder="1" applyFont="1" applyNumberFormat="1">
      <alignment horizontal="right" shrinkToFit="0" vertical="center" wrapText="0"/>
    </xf>
    <xf borderId="0" fillId="12" fontId="5" numFmtId="0" xfId="0" applyAlignment="1" applyFont="1">
      <alignment readingOrder="0" shrinkToFit="0" vertical="center" wrapText="0"/>
    </xf>
    <xf borderId="0" fillId="12" fontId="5" numFmtId="0" xfId="0" applyFont="1"/>
    <xf borderId="0" fillId="16" fontId="5" numFmtId="0" xfId="0" applyAlignment="1" applyFont="1">
      <alignment readingOrder="0" shrinkToFit="0" vertical="center" wrapText="0"/>
    </xf>
    <xf borderId="2" fillId="12" fontId="10" numFmtId="165" xfId="0" applyAlignment="1" applyBorder="1" applyFont="1" applyNumberFormat="1">
      <alignment horizontal="right" readingOrder="0" shrinkToFit="0" vertical="center" wrapText="0"/>
    </xf>
    <xf borderId="2" fillId="12" fontId="10" numFmtId="0" xfId="0" applyAlignment="1" applyBorder="1" applyFont="1">
      <alignment horizontal="right" shrinkToFit="0" vertical="center" wrapText="0"/>
    </xf>
    <xf borderId="3" fillId="12" fontId="10" numFmtId="165" xfId="0" applyAlignment="1" applyBorder="1" applyFont="1" applyNumberFormat="1">
      <alignment horizontal="right" readingOrder="0" shrinkToFit="0" vertical="center" wrapText="0"/>
    </xf>
    <xf borderId="3" fillId="12" fontId="10" numFmtId="0" xfId="0" applyAlignment="1" applyBorder="1" applyFont="1">
      <alignment horizontal="right" shrinkToFit="0" vertical="center" wrapText="0"/>
    </xf>
    <xf borderId="3" fillId="12" fontId="10" numFmtId="165" xfId="0" applyAlignment="1" applyBorder="1" applyFont="1" applyNumberFormat="1">
      <alignment horizontal="right" shrinkToFit="0" vertical="center" wrapText="0"/>
    </xf>
    <xf borderId="0" fillId="14" fontId="5" numFmtId="49" xfId="0" applyAlignment="1" applyFont="1" applyNumberFormat="1">
      <alignment readingOrder="0" shrinkToFit="0" vertical="center" wrapText="0"/>
    </xf>
    <xf borderId="0" fillId="14" fontId="9" numFmtId="49" xfId="0" applyAlignment="1" applyFont="1" applyNumberFormat="1">
      <alignment horizontal="center" readingOrder="0" shrinkToFit="0" vertical="center" wrapText="0"/>
    </xf>
    <xf borderId="0" fillId="14" fontId="5" numFmtId="0" xfId="0" applyAlignment="1" applyFont="1">
      <alignment readingOrder="0" shrinkToFit="0" vertical="center" wrapText="0"/>
    </xf>
    <xf borderId="2" fillId="14" fontId="10" numFmtId="165" xfId="0" applyAlignment="1" applyBorder="1" applyFont="1" applyNumberFormat="1">
      <alignment horizontal="right" readingOrder="0" shrinkToFit="0" vertical="center" wrapText="0"/>
    </xf>
    <xf borderId="2" fillId="14" fontId="10" numFmtId="0" xfId="0" applyAlignment="1" applyBorder="1" applyFont="1">
      <alignment horizontal="right" shrinkToFit="0" vertical="center" wrapText="0"/>
    </xf>
    <xf borderId="1" fillId="14" fontId="10" numFmtId="165" xfId="0" applyAlignment="1" applyBorder="1" applyFont="1" applyNumberFormat="1">
      <alignment horizontal="right" shrinkToFit="0" vertical="center" wrapText="0"/>
    </xf>
    <xf borderId="0" fillId="14" fontId="5" numFmtId="0" xfId="0" applyAlignment="1" applyFont="1">
      <alignment readingOrder="0" shrinkToFit="0" vertical="center" wrapText="0"/>
    </xf>
    <xf borderId="0" fillId="14" fontId="5" numFmtId="0" xfId="0" applyFont="1"/>
    <xf borderId="1" fillId="12" fontId="10" numFmtId="165" xfId="0" applyAlignment="1" applyBorder="1" applyFont="1" applyNumberFormat="1">
      <alignment horizontal="right" shrinkToFit="0" vertical="center" wrapText="0"/>
    </xf>
    <xf borderId="0" fillId="18" fontId="5" numFmtId="0" xfId="0" applyAlignment="1" applyFont="1">
      <alignment horizontal="center" readingOrder="0" shrinkToFit="0" vertical="center" wrapText="0"/>
    </xf>
    <xf borderId="0" fillId="18" fontId="5" numFmtId="49" xfId="0" applyAlignment="1" applyFont="1" applyNumberFormat="1">
      <alignment readingOrder="0" shrinkToFit="0" vertical="center" wrapText="0"/>
    </xf>
    <xf borderId="0" fillId="18" fontId="9" numFmtId="49" xfId="0" applyAlignment="1" applyFont="1" applyNumberFormat="1">
      <alignment horizontal="center" readingOrder="0" shrinkToFit="0" vertical="center" wrapText="0"/>
    </xf>
    <xf borderId="0" fillId="18" fontId="5" numFmtId="0" xfId="0" applyAlignment="1" applyFont="1">
      <alignment readingOrder="0" shrinkToFit="0" vertical="center" wrapText="0"/>
    </xf>
    <xf borderId="2" fillId="18" fontId="10" numFmtId="165" xfId="0" applyAlignment="1" applyBorder="1" applyFont="1" applyNumberFormat="1">
      <alignment horizontal="right" readingOrder="0" shrinkToFit="0" vertical="center" wrapText="0"/>
    </xf>
    <xf borderId="2" fillId="18" fontId="10" numFmtId="0" xfId="0" applyAlignment="1" applyBorder="1" applyFont="1">
      <alignment horizontal="right" shrinkToFit="0" vertical="center" wrapText="0"/>
    </xf>
    <xf borderId="1" fillId="18" fontId="10" numFmtId="165" xfId="0" applyAlignment="1" applyBorder="1" applyFont="1" applyNumberFormat="1">
      <alignment horizontal="right" shrinkToFit="0" vertical="center" wrapText="0"/>
    </xf>
    <xf borderId="0" fillId="18" fontId="5" numFmtId="0" xfId="0" applyAlignment="1" applyFont="1">
      <alignment readingOrder="0" shrinkToFit="0" vertical="center" wrapText="0"/>
    </xf>
    <xf borderId="0" fillId="18" fontId="5" numFmtId="0" xfId="0" applyFont="1"/>
    <xf borderId="0" fillId="0" fontId="9" numFmtId="49" xfId="0" applyAlignment="1" applyFont="1" applyNumberFormat="1">
      <alignment horizontal="center" readingOrder="0" shrinkToFit="0" vertical="center" wrapText="0"/>
    </xf>
    <xf borderId="1" fillId="18" fontId="10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17" fontId="5" numFmtId="0" xfId="0" applyAlignment="1" applyFont="1">
      <alignment horizontal="center" readingOrder="0" shrinkToFit="0" vertical="center" wrapText="0"/>
    </xf>
    <xf borderId="0" fillId="14" fontId="5" numFmtId="0" xfId="0" applyAlignment="1" applyFont="1">
      <alignment horizontal="center" readingOrder="0" shrinkToFit="0" vertical="center" wrapText="0"/>
    </xf>
    <xf borderId="0" fillId="12" fontId="5" numFmtId="0" xfId="0" applyAlignment="1" applyFont="1">
      <alignment horizontal="center" readingOrder="0" shrinkToFit="0" vertical="center" wrapText="0"/>
    </xf>
    <xf borderId="3" fillId="18" fontId="10" numFmtId="165" xfId="0" applyAlignment="1" applyBorder="1" applyFont="1" applyNumberFormat="1">
      <alignment horizontal="right" readingOrder="0" shrinkToFit="0" vertical="center" wrapText="0"/>
    </xf>
    <xf borderId="3" fillId="18" fontId="10" numFmtId="0" xfId="0" applyAlignment="1" applyBorder="1" applyFont="1">
      <alignment horizontal="right" shrinkToFit="0" vertical="center" wrapText="0"/>
    </xf>
    <xf borderId="3" fillId="18" fontId="10" numFmtId="165" xfId="0" applyAlignment="1" applyBorder="1" applyFont="1" applyNumberFormat="1">
      <alignment horizontal="right" shrinkToFit="0" vertical="center" wrapText="0"/>
    </xf>
    <xf borderId="0" fillId="12" fontId="5" numFmtId="165" xfId="0" applyAlignment="1" applyFont="1" applyNumberFormat="1">
      <alignment readingOrder="0" shrinkToFit="0" vertical="center" wrapText="0"/>
    </xf>
    <xf borderId="0" fillId="12" fontId="5" numFmtId="0" xfId="0" applyAlignment="1" applyFont="1">
      <alignment readingOrder="0" shrinkToFit="0" vertical="center" wrapText="0"/>
    </xf>
    <xf borderId="0" fillId="18" fontId="5" numFmtId="165" xfId="0" applyAlignment="1" applyFont="1" applyNumberFormat="1">
      <alignment readingOrder="0" shrinkToFit="0" vertical="center" wrapText="0"/>
    </xf>
    <xf borderId="0" fillId="18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Font="1"/>
    <xf borderId="0" fillId="20" fontId="2" numFmtId="0" xfId="0" applyAlignment="1" applyFill="1" applyFont="1">
      <alignment horizontal="center" readingOrder="0"/>
    </xf>
    <xf borderId="0" fillId="21" fontId="4" numFmtId="0" xfId="0" applyAlignment="1" applyFill="1" applyFont="1">
      <alignment horizontal="center" readingOrder="0"/>
    </xf>
    <xf borderId="0" fillId="22" fontId="6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22" fontId="5" numFmtId="0" xfId="0" applyAlignment="1" applyFont="1">
      <alignment horizontal="center" readingOrder="0" shrinkToFit="0" vertical="center" wrapText="0"/>
    </xf>
    <xf borderId="0" fillId="22" fontId="5" numFmtId="49" xfId="0" applyAlignment="1" applyFont="1" applyNumberFormat="1">
      <alignment readingOrder="0" shrinkToFit="0" vertical="center" wrapText="0"/>
    </xf>
    <xf borderId="0" fillId="22" fontId="9" numFmtId="49" xfId="0" applyAlignment="1" applyFont="1" applyNumberFormat="1">
      <alignment horizontal="center" readingOrder="0" shrinkToFit="0" vertical="center" wrapText="0"/>
    </xf>
    <xf borderId="0" fillId="22" fontId="5" numFmtId="0" xfId="0" applyAlignment="1" applyFont="1">
      <alignment readingOrder="0" shrinkToFit="0" vertical="center" wrapText="0"/>
    </xf>
    <xf borderId="4" fillId="22" fontId="12" numFmtId="49" xfId="0" applyAlignment="1" applyBorder="1" applyFont="1" applyNumberFormat="1">
      <alignment shrinkToFit="0" vertical="center" wrapText="0"/>
    </xf>
    <xf borderId="4" fillId="22" fontId="10" numFmtId="165" xfId="0" applyAlignment="1" applyBorder="1" applyFont="1" applyNumberFormat="1">
      <alignment horizontal="right" readingOrder="0" shrinkToFit="0" vertical="center" wrapText="0"/>
    </xf>
    <xf borderId="4" fillId="22" fontId="10" numFmtId="0" xfId="0" applyAlignment="1" applyBorder="1" applyFont="1">
      <alignment horizontal="right" readingOrder="0" shrinkToFit="0" vertical="center" wrapText="0"/>
    </xf>
    <xf borderId="4" fillId="22" fontId="13" numFmtId="165" xfId="0" applyAlignment="1" applyBorder="1" applyFont="1" applyNumberFormat="1">
      <alignment horizontal="right" readingOrder="0" shrinkToFit="0" vertical="center" wrapText="0"/>
    </xf>
    <xf borderId="4" fillId="22" fontId="10" numFmtId="0" xfId="0" applyAlignment="1" applyBorder="1" applyFont="1">
      <alignment horizontal="right" shrinkToFit="0" vertical="center" wrapText="0"/>
    </xf>
    <xf borderId="0" fillId="22" fontId="5" numFmtId="0" xfId="0" applyFont="1"/>
    <xf borderId="4" fillId="22" fontId="10" numFmtId="165" xfId="0" applyAlignment="1" applyBorder="1" applyFont="1" applyNumberFormat="1">
      <alignment horizontal="right" shrinkToFit="0" vertical="center" wrapText="0"/>
    </xf>
    <xf borderId="1" fillId="18" fontId="10" numFmtId="49" xfId="0" applyAlignment="1" applyBorder="1" applyFont="1" applyNumberFormat="1">
      <alignment shrinkToFit="0" vertical="center" wrapText="0"/>
    </xf>
    <xf borderId="1" fillId="18" fontId="10" numFmtId="0" xfId="0" applyAlignment="1" applyBorder="1" applyFont="1">
      <alignment horizontal="right" shrinkToFit="0" vertical="center" wrapText="0"/>
    </xf>
    <xf borderId="3" fillId="12" fontId="12" numFmtId="49" xfId="0" applyAlignment="1" applyBorder="1" applyFont="1" applyNumberFormat="1">
      <alignment shrinkToFit="0" vertical="center" wrapText="0"/>
    </xf>
    <xf borderId="3" fillId="12" fontId="10" numFmtId="0" xfId="0" applyAlignment="1" applyBorder="1" applyFont="1">
      <alignment horizontal="right" shrinkToFit="0" vertical="center" wrapText="0"/>
    </xf>
    <xf borderId="1" fillId="18" fontId="12" numFmtId="49" xfId="0" applyAlignment="1" applyBorder="1" applyFont="1" applyNumberFormat="1">
      <alignment shrinkToFit="0" vertical="center" wrapText="0"/>
    </xf>
    <xf borderId="2" fillId="19" fontId="12" numFmtId="49" xfId="0" applyAlignment="1" applyBorder="1" applyFont="1" applyNumberFormat="1">
      <alignment shrinkToFit="0" vertical="center" wrapText="0"/>
    </xf>
    <xf borderId="5" fillId="23" fontId="14" numFmtId="165" xfId="0" applyAlignment="1" applyBorder="1" applyFill="1" applyFont="1" applyNumberFormat="1">
      <alignment horizontal="right" shrinkToFit="0" vertical="center" wrapText="0"/>
    </xf>
    <xf borderId="2" fillId="19" fontId="10" numFmtId="0" xfId="0" applyAlignment="1" applyBorder="1" applyFont="1">
      <alignment horizontal="right" shrinkToFit="0" vertical="center" wrapText="0"/>
    </xf>
    <xf borderId="0" fillId="12" fontId="5" numFmtId="0" xfId="0" applyAlignment="1" applyFont="1">
      <alignment horizontal="center" readingOrder="0" shrinkToFit="0" vertical="center" wrapText="0"/>
    </xf>
    <xf borderId="3" fillId="12" fontId="12" numFmtId="165" xfId="0" applyAlignment="1" applyBorder="1" applyFont="1" applyNumberFormat="1">
      <alignment readingOrder="0" shrinkToFit="0" vertical="center" wrapText="0"/>
    </xf>
    <xf borderId="3" fillId="12" fontId="12" numFmtId="0" xfId="0" applyAlignment="1" applyBorder="1" applyFont="1">
      <alignment readingOrder="0" shrinkToFit="0" vertical="center" wrapText="0"/>
    </xf>
    <xf borderId="3" fillId="12" fontId="12" numFmtId="165" xfId="0" applyAlignment="1" applyBorder="1" applyFont="1" applyNumberFormat="1">
      <alignment shrinkToFit="0" vertical="center" wrapText="0"/>
    </xf>
    <xf borderId="3" fillId="12" fontId="12" numFmtId="0" xfId="0" applyAlignment="1" applyBorder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AB00"/>
          <bgColor rgb="FFFFAB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AB00"/>
        </left>
        <right style="thin">
          <color rgb="FFFFAB00"/>
        </right>
        <top style="thin">
          <color rgb="FFFFAB00"/>
        </top>
        <bottom style="thin">
          <color rgb="FFFFAB00"/>
        </bottom>
      </border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>
        <strike/>
        <color rgb="FFFFFFFF"/>
      </font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</dxfs>
  <tableStyles count="2">
    <tableStyle count="4" pivot="0" name="ELITE T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TURE TV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Q99" displayName="TB_ELITE" name="TB_ELITE" id="1">
  <tableColumns count="17">
    <tableColumn name="ESTATUS" id="1"/>
    <tableColumn name="DEMO" id="2"/>
    <tableColumn name="No CLIENTE" id="3"/>
    <tableColumn name="NOMBRE DEL CLIENTE" id="4"/>
    <tableColumn name="TELEFONO" id="5"/>
    <tableColumn name="EQUIPO" id="6"/>
    <tableColumn name="TV 1" id="7"/>
    <tableColumn name="EQUIPO 2" id="8"/>
    <tableColumn name="TV 2" id="9"/>
    <tableColumn name="DETALLES" id="10"/>
    <tableColumn name="FECHA DE ACTIVACION" id="11"/>
    <tableColumn name="MESES ACTIVOS" id="12"/>
    <tableColumn name="FECHA DE RENOVACION" id="13"/>
    <tableColumn name="COSTO" id="14"/>
    <tableColumn name="ENERO" id="15"/>
    <tableColumn name="FEBRERO" id="16"/>
    <tableColumn name="MARZO" id="17"/>
  </tableColumns>
  <tableStyleInfo name="ELITE TV-style" showColumnStripes="0" showFirstColumn="1" showLastColumn="1" showRowStripes="1"/>
</table>
</file>

<file path=xl/tables/table2.xml><?xml version="1.0" encoding="utf-8"?>
<table xmlns="http://schemas.openxmlformats.org/spreadsheetml/2006/main" ref="A10:S99" displayName="TB_FUTURE" name="TB_FUTURE" id="2">
  <tableColumns count="19">
    <tableColumn name="ESTATUS" id="1"/>
    <tableColumn name="DEMO" id="2"/>
    <tableColumn name="No CLIENTE" id="3"/>
    <tableColumn name="NOMBRE DEL CLIENTE" id="4"/>
    <tableColumn name="TELEFONO" id="5"/>
    <tableColumn name="EQUIPO" id="6"/>
    <tableColumn name="TV 1" id="7"/>
    <tableColumn name="EQUIPO 2" id="8"/>
    <tableColumn name="TV 2" id="9"/>
    <tableColumn name="EQUIPO 3" id="10"/>
    <tableColumn name="TV 3" id="11"/>
    <tableColumn name="DETALLES" id="12"/>
    <tableColumn name="FECHA DE ACTIVACION" id="13"/>
    <tableColumn name="MESES ACTIVOS" id="14"/>
    <tableColumn name="FECHA DE RENOVACION" id="15"/>
    <tableColumn name="COSTO" id="16"/>
    <tableColumn name="ENERO" id="17"/>
    <tableColumn name="FEBRERO" id="18"/>
    <tableColumn name="MARZO" id="19"/>
  </tableColumns>
  <tableStyleInfo name="FUTURE T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5.88"/>
    <col customWidth="1" min="2" max="2" width="13.38"/>
    <col customWidth="1" min="3" max="3" width="18.75"/>
    <col customWidth="1" min="4" max="4" width="41.38"/>
    <col customWidth="1" min="5" max="5" width="17.5"/>
    <col customWidth="1" min="6" max="6" width="14.63"/>
    <col customWidth="1" min="7" max="7" width="18.0"/>
    <col customWidth="1" min="8" max="8" width="14.63"/>
    <col customWidth="1" min="9" max="9" width="12.25"/>
    <col customWidth="1" min="10" max="11" width="19.63"/>
    <col customWidth="1" min="12" max="12" width="16.0"/>
    <col customWidth="1" min="13" max="13" width="20.25"/>
    <col customWidth="1" min="14" max="14" width="14.13"/>
    <col customWidth="1" min="15" max="15" width="16.13"/>
    <col customWidth="1" min="16" max="16" width="18.13"/>
    <col customWidth="1" min="17" max="17" width="17.38"/>
  </cols>
  <sheetData>
    <row r="1">
      <c r="A1" s="1" t="s">
        <v>0</v>
      </c>
      <c r="E1" s="2" t="s">
        <v>1</v>
      </c>
    </row>
    <row r="2">
      <c r="A2" s="3" t="s">
        <v>2</v>
      </c>
      <c r="B2" s="4" t="s">
        <v>3</v>
      </c>
      <c r="E2" s="5" t="s">
        <v>4</v>
      </c>
      <c r="F2" s="5" t="s">
        <v>5</v>
      </c>
      <c r="G2" s="5" t="s">
        <v>6</v>
      </c>
    </row>
    <row r="3">
      <c r="A3" s="6">
        <f>COUNTIF(TB_ELITE[ESTATUS],TRUE)</f>
        <v>29</v>
      </c>
      <c r="B3" s="7">
        <f>COUNTIFS(TB_ELITE[ESTATUS],FALSE,TB_ELITE[TV 1],TRUE)</f>
        <v>0</v>
      </c>
      <c r="E3" s="8">
        <v>0.0</v>
      </c>
      <c r="F3" s="8">
        <f>SUMIF(A11:A99,TRUE,L11:L99)</f>
        <v>31</v>
      </c>
      <c r="G3" s="8">
        <f>IF((E3-F3)&lt;0,0,E3-F3)</f>
        <v>0</v>
      </c>
      <c r="J3" s="9"/>
    </row>
    <row r="5">
      <c r="A5" s="10" t="s">
        <v>7</v>
      </c>
    </row>
    <row r="6">
      <c r="A6" s="11" t="s">
        <v>8</v>
      </c>
      <c r="B6" s="12">
        <f>COUNTIFS(TB_ELITE[ESTATUS],TRUE,TB_ELITE[EQUIPO],"FIRE STICK") + COUNTIFS(TB_ELITE[ESTATUS],TRUE,TB_ELITE[EQUIPO 2],"FIRE STICK")</f>
        <v>42</v>
      </c>
    </row>
    <row r="7">
      <c r="A7" s="13" t="s">
        <v>9</v>
      </c>
      <c r="B7" s="14">
        <f>COUNTIFS(TB_ELITE[ESTATUS],TRUE,TB_ELITE[EQUIPO],"ROKU") + COUNTIFS(TB_ELITE[ESTATUS],TRUE,TB_ELITE[EQUIPO 2],"ROKU")</f>
        <v>8</v>
      </c>
    </row>
    <row r="8">
      <c r="A8" s="15" t="s">
        <v>10</v>
      </c>
      <c r="B8" s="16">
        <f>COUNTIFS(TB_ELITE[ESTATUS],TRUE,TB_ELITE[EQUIPO],"ANDROID") + COUNTIFS(TB_ELITE[ESTATUS],TRUE,TB_ELITE[EQUIPO 2],"ANDROID")</f>
        <v>1</v>
      </c>
      <c r="N8" s="17" t="s">
        <v>11</v>
      </c>
    </row>
    <row r="9">
      <c r="M9" s="18" t="s">
        <v>12</v>
      </c>
      <c r="N9" s="19">
        <f>SUMIF(TB_ELITE[ESTATUS],TRUE,TB_ELITE[COSTO])</f>
        <v>7000</v>
      </c>
      <c r="O9" s="20">
        <f>SUMIFS(TB_ELITE[COSTO],TB_ELITE[ENERO],TRUE,TB_ELITE[ESTATUS],TRUE)</f>
        <v>6500</v>
      </c>
      <c r="P9" s="21">
        <f>SUMIFS(TB_ELITE[COSTO],TB_ELITE[FEBRERO],TRUE,TB_ELITE[ESTATUS],TRUE)</f>
        <v>6000</v>
      </c>
      <c r="Q9" s="22">
        <f>SUMIFS(TB_ELITE[COSTO],TB_ELITE[MARZO],TRUE,TB_ELITE[ESTATUS],TRUE)</f>
        <v>500</v>
      </c>
    </row>
    <row r="10" ht="22.5" customHeight="1">
      <c r="A10" s="23" t="s">
        <v>13</v>
      </c>
      <c r="B10" s="24" t="s">
        <v>14</v>
      </c>
      <c r="C10" s="23" t="s">
        <v>15</v>
      </c>
      <c r="D10" s="23" t="s">
        <v>16</v>
      </c>
      <c r="E10" s="23" t="s">
        <v>17</v>
      </c>
      <c r="F10" s="23" t="s">
        <v>18</v>
      </c>
      <c r="G10" s="23" t="s">
        <v>19</v>
      </c>
      <c r="H10" s="23" t="s">
        <v>20</v>
      </c>
      <c r="I10" s="23" t="s">
        <v>21</v>
      </c>
      <c r="J10" s="25" t="s">
        <v>22</v>
      </c>
      <c r="K10" s="26" t="s">
        <v>23</v>
      </c>
      <c r="L10" s="26" t="s">
        <v>24</v>
      </c>
      <c r="M10" s="25" t="s">
        <v>25</v>
      </c>
      <c r="N10" s="25" t="s">
        <v>26</v>
      </c>
      <c r="O10" s="26" t="s">
        <v>27</v>
      </c>
      <c r="P10" s="26" t="s">
        <v>28</v>
      </c>
      <c r="Q10" s="26" t="s">
        <v>29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ht="22.5" customHeight="1">
      <c r="A11" s="28" t="b">
        <v>1</v>
      </c>
      <c r="B11" s="28" t="b">
        <v>0</v>
      </c>
      <c r="C11" s="29" t="s">
        <v>30</v>
      </c>
      <c r="D11" s="29" t="s">
        <v>31</v>
      </c>
      <c r="E11" s="30" t="s">
        <v>32</v>
      </c>
      <c r="F11" s="31" t="s">
        <v>9</v>
      </c>
      <c r="G11" s="28" t="b">
        <v>1</v>
      </c>
      <c r="H11" s="31"/>
      <c r="I11" s="28" t="b">
        <v>0</v>
      </c>
      <c r="J11" s="32"/>
      <c r="K11" s="33">
        <v>46080.0</v>
      </c>
      <c r="L11" s="34">
        <v>1.0</v>
      </c>
      <c r="M11" s="35">
        <f t="shared" ref="M11:M99" si="1">IF(L11&gt;0,IF(AND(K11&lt;&gt;"",L11&lt;&gt;""),DATE(YEAR(K11),MONTH(K11)+L11,DAY(K11)),""),"")</f>
        <v>46108</v>
      </c>
      <c r="N11" s="36">
        <v>250.0</v>
      </c>
      <c r="O11" s="37" t="b">
        <v>1</v>
      </c>
      <c r="P11" s="38" t="b">
        <v>1</v>
      </c>
      <c r="Q11" s="39" t="b">
        <v>0</v>
      </c>
    </row>
    <row r="12" ht="22.5" customHeight="1">
      <c r="A12" s="40" t="b">
        <v>1</v>
      </c>
      <c r="B12" s="28" t="b">
        <v>0</v>
      </c>
      <c r="C12" s="29" t="s">
        <v>33</v>
      </c>
      <c r="D12" s="32" t="s">
        <v>34</v>
      </c>
      <c r="E12" s="30" t="s">
        <v>35</v>
      </c>
      <c r="F12" s="41" t="s">
        <v>8</v>
      </c>
      <c r="G12" s="40" t="b">
        <v>1</v>
      </c>
      <c r="H12" s="41" t="s">
        <v>8</v>
      </c>
      <c r="I12" s="40" t="b">
        <v>1</v>
      </c>
      <c r="J12" s="32"/>
      <c r="K12" s="42">
        <v>46065.0</v>
      </c>
      <c r="L12" s="43">
        <v>1.0</v>
      </c>
      <c r="M12" s="44">
        <f t="shared" si="1"/>
        <v>46093</v>
      </c>
      <c r="N12" s="36">
        <v>250.0</v>
      </c>
      <c r="O12" s="37" t="b">
        <v>1</v>
      </c>
      <c r="P12" s="38" t="b">
        <v>1</v>
      </c>
      <c r="Q12" s="39" t="b">
        <v>0</v>
      </c>
    </row>
    <row r="13" ht="22.5" customHeight="1">
      <c r="A13" s="39" t="b">
        <v>1</v>
      </c>
      <c r="B13" s="39" t="b">
        <v>0</v>
      </c>
      <c r="C13" s="45" t="s">
        <v>36</v>
      </c>
      <c r="D13" s="45" t="s">
        <v>37</v>
      </c>
      <c r="E13" s="46"/>
      <c r="F13" s="47" t="s">
        <v>8</v>
      </c>
      <c r="G13" s="39" t="b">
        <v>1</v>
      </c>
      <c r="H13" s="47" t="s">
        <v>8</v>
      </c>
      <c r="I13" s="39" t="b">
        <v>1</v>
      </c>
      <c r="J13" s="45"/>
      <c r="K13" s="48">
        <v>46084.0</v>
      </c>
      <c r="L13" s="49">
        <v>1.0</v>
      </c>
      <c r="M13" s="50">
        <f t="shared" si="1"/>
        <v>46115</v>
      </c>
      <c r="N13" s="51">
        <v>250.0</v>
      </c>
      <c r="O13" s="39" t="b">
        <v>1</v>
      </c>
      <c r="P13" s="39" t="b">
        <v>1</v>
      </c>
      <c r="Q13" s="39" t="b">
        <v>0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ht="22.5" customHeight="1">
      <c r="A14" s="40" t="b">
        <v>1</v>
      </c>
      <c r="B14" s="28" t="b">
        <v>0</v>
      </c>
      <c r="C14" s="29" t="s">
        <v>38</v>
      </c>
      <c r="D14" s="32" t="s">
        <v>39</v>
      </c>
      <c r="E14" s="30" t="s">
        <v>40</v>
      </c>
      <c r="F14" s="41" t="s">
        <v>9</v>
      </c>
      <c r="G14" s="40" t="b">
        <v>1</v>
      </c>
      <c r="H14" s="41" t="s">
        <v>9</v>
      </c>
      <c r="I14" s="28" t="b">
        <v>1</v>
      </c>
      <c r="J14" s="32"/>
      <c r="K14" s="42">
        <v>46068.0</v>
      </c>
      <c r="L14" s="43">
        <v>1.0</v>
      </c>
      <c r="M14" s="44">
        <f t="shared" si="1"/>
        <v>46096</v>
      </c>
      <c r="N14" s="53">
        <v>125.0</v>
      </c>
      <c r="O14" s="37" t="b">
        <v>1</v>
      </c>
      <c r="P14" s="38" t="b">
        <v>1</v>
      </c>
      <c r="Q14" s="39" t="b">
        <v>0</v>
      </c>
    </row>
    <row r="15" ht="22.5" customHeight="1">
      <c r="A15" s="39" t="b">
        <v>1</v>
      </c>
      <c r="B15" s="39" t="b">
        <v>0</v>
      </c>
      <c r="C15" s="45" t="s">
        <v>41</v>
      </c>
      <c r="D15" s="45" t="s">
        <v>42</v>
      </c>
      <c r="E15" s="46"/>
      <c r="F15" s="47" t="s">
        <v>8</v>
      </c>
      <c r="G15" s="39" t="b">
        <v>1</v>
      </c>
      <c r="H15" s="47" t="s">
        <v>8</v>
      </c>
      <c r="I15" s="39" t="b">
        <v>1</v>
      </c>
      <c r="J15" s="45"/>
      <c r="K15" s="48">
        <v>46084.0</v>
      </c>
      <c r="L15" s="49">
        <v>1.0</v>
      </c>
      <c r="M15" s="50">
        <f t="shared" si="1"/>
        <v>46115</v>
      </c>
      <c r="N15" s="51">
        <v>250.0</v>
      </c>
      <c r="O15" s="39" t="b">
        <v>1</v>
      </c>
      <c r="P15" s="39" t="b">
        <v>1</v>
      </c>
      <c r="Q15" s="39" t="b">
        <v>0</v>
      </c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ht="22.5" customHeight="1">
      <c r="A16" s="39" t="b">
        <v>1</v>
      </c>
      <c r="B16" s="39" t="b">
        <v>0</v>
      </c>
      <c r="C16" s="45" t="s">
        <v>43</v>
      </c>
      <c r="D16" s="45" t="s">
        <v>42</v>
      </c>
      <c r="E16" s="46"/>
      <c r="F16" s="47" t="s">
        <v>8</v>
      </c>
      <c r="G16" s="39" t="b">
        <v>1</v>
      </c>
      <c r="H16" s="47" t="s">
        <v>8</v>
      </c>
      <c r="I16" s="39" t="b">
        <v>1</v>
      </c>
      <c r="J16" s="45"/>
      <c r="K16" s="54">
        <v>46084.0</v>
      </c>
      <c r="L16" s="55">
        <v>1.0</v>
      </c>
      <c r="M16" s="50">
        <f t="shared" si="1"/>
        <v>46115</v>
      </c>
      <c r="N16" s="51">
        <v>250.0</v>
      </c>
      <c r="O16" s="39" t="b">
        <v>1</v>
      </c>
      <c r="P16" s="39" t="b">
        <v>1</v>
      </c>
      <c r="Q16" s="39" t="b">
        <v>0</v>
      </c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ht="22.5" customHeight="1">
      <c r="A17" s="40" t="b">
        <v>1</v>
      </c>
      <c r="B17" s="28" t="b">
        <v>0</v>
      </c>
      <c r="C17" s="29" t="s">
        <v>44</v>
      </c>
      <c r="D17" s="32" t="s">
        <v>45</v>
      </c>
      <c r="E17" s="30" t="s">
        <v>46</v>
      </c>
      <c r="F17" s="41" t="s">
        <v>8</v>
      </c>
      <c r="G17" s="40" t="b">
        <v>1</v>
      </c>
      <c r="H17" s="41" t="s">
        <v>8</v>
      </c>
      <c r="I17" s="40" t="b">
        <v>1</v>
      </c>
      <c r="J17" s="32"/>
      <c r="K17" s="33">
        <v>46069.0</v>
      </c>
      <c r="L17" s="34">
        <v>1.0</v>
      </c>
      <c r="M17" s="35">
        <f t="shared" si="1"/>
        <v>46097</v>
      </c>
      <c r="N17" s="53">
        <v>250.0</v>
      </c>
      <c r="O17" s="37" t="b">
        <v>0</v>
      </c>
      <c r="P17" s="38" t="b">
        <v>1</v>
      </c>
      <c r="Q17" s="39" t="b">
        <v>0</v>
      </c>
    </row>
    <row r="18" ht="22.5" customHeight="1">
      <c r="A18" s="39" t="b">
        <v>1</v>
      </c>
      <c r="B18" s="39" t="b">
        <v>0</v>
      </c>
      <c r="C18" s="45" t="s">
        <v>47</v>
      </c>
      <c r="D18" s="45" t="s">
        <v>48</v>
      </c>
      <c r="E18" s="46" t="s">
        <v>49</v>
      </c>
      <c r="F18" s="47" t="s">
        <v>8</v>
      </c>
      <c r="G18" s="39" t="b">
        <v>1</v>
      </c>
      <c r="H18" s="47" t="s">
        <v>8</v>
      </c>
      <c r="I18" s="39" t="b">
        <v>1</v>
      </c>
      <c r="J18" s="45"/>
      <c r="K18" s="56">
        <v>46068.0</v>
      </c>
      <c r="L18" s="57">
        <v>1.0</v>
      </c>
      <c r="M18" s="58">
        <f t="shared" si="1"/>
        <v>46096</v>
      </c>
      <c r="N18" s="51">
        <v>250.0</v>
      </c>
      <c r="O18" s="39" t="b">
        <v>1</v>
      </c>
      <c r="P18" s="39" t="b">
        <v>1</v>
      </c>
      <c r="Q18" s="39" t="b">
        <v>0</v>
      </c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 ht="22.5" customHeight="1">
      <c r="A19" s="40" t="b">
        <v>1</v>
      </c>
      <c r="B19" s="28" t="b">
        <v>0</v>
      </c>
      <c r="C19" s="29" t="s">
        <v>50</v>
      </c>
      <c r="D19" s="32" t="s">
        <v>51</v>
      </c>
      <c r="E19" s="30" t="s">
        <v>52</v>
      </c>
      <c r="F19" s="41" t="s">
        <v>8</v>
      </c>
      <c r="G19" s="40" t="b">
        <v>1</v>
      </c>
      <c r="H19" s="41" t="s">
        <v>8</v>
      </c>
      <c r="I19" s="40" t="b">
        <v>1</v>
      </c>
      <c r="J19" s="32"/>
      <c r="K19" s="33">
        <v>46056.0</v>
      </c>
      <c r="L19" s="34">
        <v>1.0</v>
      </c>
      <c r="M19" s="35">
        <f t="shared" si="1"/>
        <v>46084</v>
      </c>
      <c r="N19" s="53">
        <v>250.0</v>
      </c>
      <c r="O19" s="37" t="b">
        <v>1</v>
      </c>
      <c r="P19" s="38" t="b">
        <v>1</v>
      </c>
      <c r="Q19" s="39" t="b">
        <v>0</v>
      </c>
    </row>
    <row r="20" ht="22.5" customHeight="1">
      <c r="A20" s="38" t="b">
        <v>1</v>
      </c>
      <c r="B20" s="38" t="b">
        <v>0</v>
      </c>
      <c r="C20" s="59" t="s">
        <v>53</v>
      </c>
      <c r="D20" s="59" t="s">
        <v>54</v>
      </c>
      <c r="E20" s="60" t="s">
        <v>55</v>
      </c>
      <c r="F20" s="61" t="s">
        <v>8</v>
      </c>
      <c r="G20" s="38" t="b">
        <v>1</v>
      </c>
      <c r="H20" s="61" t="s">
        <v>9</v>
      </c>
      <c r="I20" s="38" t="b">
        <v>1</v>
      </c>
      <c r="J20" s="59"/>
      <c r="K20" s="62">
        <v>46056.0</v>
      </c>
      <c r="L20" s="63">
        <v>1.0</v>
      </c>
      <c r="M20" s="64">
        <f t="shared" si="1"/>
        <v>46084</v>
      </c>
      <c r="N20" s="65">
        <v>250.0</v>
      </c>
      <c r="O20" s="38" t="b">
        <v>1</v>
      </c>
      <c r="P20" s="38" t="b">
        <v>0</v>
      </c>
      <c r="Q20" s="38" t="b">
        <v>0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ht="22.5" customHeight="1">
      <c r="A21" s="39" t="b">
        <v>1</v>
      </c>
      <c r="B21" s="39" t="b">
        <v>0</v>
      </c>
      <c r="C21" s="45" t="s">
        <v>56</v>
      </c>
      <c r="D21" s="45" t="s">
        <v>57</v>
      </c>
      <c r="E21" s="46" t="s">
        <v>58</v>
      </c>
      <c r="F21" s="47" t="s">
        <v>8</v>
      </c>
      <c r="G21" s="39" t="b">
        <v>1</v>
      </c>
      <c r="H21" s="47" t="s">
        <v>8</v>
      </c>
      <c r="I21" s="39" t="b">
        <v>0</v>
      </c>
      <c r="J21" s="45"/>
      <c r="K21" s="48">
        <v>46074.0</v>
      </c>
      <c r="L21" s="49">
        <v>1.0</v>
      </c>
      <c r="M21" s="67">
        <f t="shared" si="1"/>
        <v>46102</v>
      </c>
      <c r="N21" s="51">
        <v>250.0</v>
      </c>
      <c r="O21" s="39" t="b">
        <v>1</v>
      </c>
      <c r="P21" s="39" t="b">
        <v>1</v>
      </c>
      <c r="Q21" s="39" t="b">
        <v>0</v>
      </c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 ht="22.5" customHeight="1">
      <c r="A22" s="38" t="b">
        <v>1</v>
      </c>
      <c r="B22" s="38" t="b">
        <v>0</v>
      </c>
      <c r="C22" s="59" t="s">
        <v>59</v>
      </c>
      <c r="D22" s="59" t="s">
        <v>54</v>
      </c>
      <c r="E22" s="60" t="s">
        <v>55</v>
      </c>
      <c r="F22" s="61" t="s">
        <v>8</v>
      </c>
      <c r="G22" s="38" t="b">
        <v>1</v>
      </c>
      <c r="H22" s="61" t="s">
        <v>8</v>
      </c>
      <c r="I22" s="38" t="b">
        <v>1</v>
      </c>
      <c r="J22" s="59"/>
      <c r="K22" s="62">
        <v>46056.0</v>
      </c>
      <c r="L22" s="63">
        <v>1.0</v>
      </c>
      <c r="M22" s="64">
        <f t="shared" si="1"/>
        <v>46084</v>
      </c>
      <c r="N22" s="65">
        <v>250.0</v>
      </c>
      <c r="O22" s="38" t="b">
        <v>1</v>
      </c>
      <c r="P22" s="38" t="b">
        <v>0</v>
      </c>
      <c r="Q22" s="38" t="b">
        <v>0</v>
      </c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ht="22.5" customHeight="1">
      <c r="A23" s="39" t="b">
        <v>1</v>
      </c>
      <c r="B23" s="39" t="b">
        <v>0</v>
      </c>
      <c r="C23" s="45" t="s">
        <v>60</v>
      </c>
      <c r="D23" s="45" t="s">
        <v>61</v>
      </c>
      <c r="E23" s="46" t="s">
        <v>62</v>
      </c>
      <c r="F23" s="47" t="s">
        <v>8</v>
      </c>
      <c r="G23" s="39" t="b">
        <v>1</v>
      </c>
      <c r="H23" s="47" t="s">
        <v>8</v>
      </c>
      <c r="I23" s="39" t="b">
        <v>0</v>
      </c>
      <c r="J23" s="45"/>
      <c r="K23" s="48">
        <v>46083.0</v>
      </c>
      <c r="L23" s="49">
        <v>1.0</v>
      </c>
      <c r="M23" s="67">
        <f t="shared" si="1"/>
        <v>46114</v>
      </c>
      <c r="N23" s="51">
        <v>250.0</v>
      </c>
      <c r="O23" s="39" t="b">
        <v>1</v>
      </c>
      <c r="P23" s="39" t="b">
        <v>1</v>
      </c>
      <c r="Q23" s="39" t="b">
        <v>1</v>
      </c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 ht="22.5" customHeight="1">
      <c r="A24" s="68" t="b">
        <v>1</v>
      </c>
      <c r="B24" s="68" t="b">
        <v>0</v>
      </c>
      <c r="C24" s="69" t="s">
        <v>63</v>
      </c>
      <c r="D24" s="69" t="s">
        <v>64</v>
      </c>
      <c r="E24" s="70" t="s">
        <v>65</v>
      </c>
      <c r="F24" s="71" t="s">
        <v>8</v>
      </c>
      <c r="G24" s="68" t="b">
        <v>1</v>
      </c>
      <c r="H24" s="71" t="s">
        <v>8</v>
      </c>
      <c r="I24" s="68" t="b">
        <v>0</v>
      </c>
      <c r="J24" s="69"/>
      <c r="K24" s="72">
        <v>46068.0</v>
      </c>
      <c r="L24" s="73">
        <v>1.0</v>
      </c>
      <c r="M24" s="74">
        <f t="shared" si="1"/>
        <v>46096</v>
      </c>
      <c r="N24" s="75">
        <v>250.0</v>
      </c>
      <c r="O24" s="68" t="b">
        <v>1</v>
      </c>
      <c r="P24" s="68" t="b">
        <v>1</v>
      </c>
      <c r="Q24" s="68" t="b">
        <v>0</v>
      </c>
      <c r="R24" s="76"/>
      <c r="S24" s="76"/>
      <c r="T24" s="76"/>
      <c r="U24" s="76"/>
      <c r="V24" s="76"/>
      <c r="W24" s="76"/>
      <c r="X24" s="76"/>
      <c r="Y24" s="76"/>
      <c r="Z24" s="76"/>
      <c r="AA24" s="76"/>
    </row>
    <row r="25" ht="22.5" customHeight="1">
      <c r="A25" s="40" t="b">
        <v>1</v>
      </c>
      <c r="B25" s="40" t="b">
        <v>0</v>
      </c>
      <c r="C25" s="29" t="s">
        <v>66</v>
      </c>
      <c r="D25" s="32" t="s">
        <v>67</v>
      </c>
      <c r="E25" s="77" t="s">
        <v>68</v>
      </c>
      <c r="F25" s="41" t="s">
        <v>8</v>
      </c>
      <c r="G25" s="40" t="b">
        <v>1</v>
      </c>
      <c r="H25" s="41" t="s">
        <v>9</v>
      </c>
      <c r="I25" s="40" t="b">
        <v>1</v>
      </c>
      <c r="J25" s="32"/>
      <c r="K25" s="33">
        <v>46084.0</v>
      </c>
      <c r="L25" s="78">
        <v>3.0</v>
      </c>
      <c r="M25" s="35">
        <f t="shared" si="1"/>
        <v>46176</v>
      </c>
      <c r="N25" s="79">
        <v>250.0</v>
      </c>
      <c r="O25" s="80" t="b">
        <v>1</v>
      </c>
      <c r="P25" s="81" t="b">
        <v>1</v>
      </c>
      <c r="Q25" s="82" t="b">
        <v>1</v>
      </c>
    </row>
    <row r="26" ht="22.5" customHeight="1">
      <c r="A26" s="39" t="b">
        <v>1</v>
      </c>
      <c r="B26" s="39" t="b">
        <v>0</v>
      </c>
      <c r="C26" s="45" t="s">
        <v>69</v>
      </c>
      <c r="D26" s="45" t="s">
        <v>70</v>
      </c>
      <c r="E26" s="46" t="s">
        <v>71</v>
      </c>
      <c r="F26" s="47" t="s">
        <v>8</v>
      </c>
      <c r="G26" s="39" t="b">
        <v>1</v>
      </c>
      <c r="H26" s="47" t="s">
        <v>8</v>
      </c>
      <c r="I26" s="39" t="b">
        <v>1</v>
      </c>
      <c r="J26" s="45"/>
      <c r="K26" s="56">
        <v>46082.0</v>
      </c>
      <c r="L26" s="57">
        <v>1.0</v>
      </c>
      <c r="M26" s="58">
        <f t="shared" si="1"/>
        <v>46113</v>
      </c>
      <c r="N26" s="51">
        <v>250.0</v>
      </c>
      <c r="O26" s="39" t="b">
        <v>1</v>
      </c>
      <c r="P26" s="39" t="b">
        <v>1</v>
      </c>
      <c r="Q26" s="39" t="b">
        <v>0</v>
      </c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 ht="22.5" customHeight="1">
      <c r="A27" s="39" t="b">
        <v>1</v>
      </c>
      <c r="B27" s="39" t="b">
        <v>0</v>
      </c>
      <c r="C27" s="45" t="s">
        <v>72</v>
      </c>
      <c r="D27" s="45" t="s">
        <v>73</v>
      </c>
      <c r="E27" s="46" t="s">
        <v>74</v>
      </c>
      <c r="F27" s="47" t="s">
        <v>8</v>
      </c>
      <c r="G27" s="39" t="b">
        <v>1</v>
      </c>
      <c r="H27" s="47" t="s">
        <v>8</v>
      </c>
      <c r="I27" s="39" t="b">
        <v>1</v>
      </c>
      <c r="J27" s="45"/>
      <c r="K27" s="56">
        <v>46082.0</v>
      </c>
      <c r="L27" s="57">
        <v>1.0</v>
      </c>
      <c r="M27" s="58">
        <f t="shared" si="1"/>
        <v>46113</v>
      </c>
      <c r="N27" s="51">
        <v>250.0</v>
      </c>
      <c r="O27" s="39" t="b">
        <v>1</v>
      </c>
      <c r="P27" s="39" t="b">
        <v>1</v>
      </c>
      <c r="Q27" s="39" t="b">
        <v>0</v>
      </c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 ht="22.5" customHeight="1">
      <c r="A28" s="39" t="b">
        <v>1</v>
      </c>
      <c r="B28" s="39" t="b">
        <v>0</v>
      </c>
      <c r="C28" s="45" t="s">
        <v>75</v>
      </c>
      <c r="D28" s="45" t="s">
        <v>76</v>
      </c>
      <c r="E28" s="46" t="s">
        <v>77</v>
      </c>
      <c r="F28" s="47" t="s">
        <v>8</v>
      </c>
      <c r="G28" s="39" t="b">
        <v>1</v>
      </c>
      <c r="H28" s="47" t="s">
        <v>8</v>
      </c>
      <c r="I28" s="39" t="b">
        <v>1</v>
      </c>
      <c r="J28" s="45"/>
      <c r="K28" s="56">
        <v>46082.0</v>
      </c>
      <c r="L28" s="57">
        <v>1.0</v>
      </c>
      <c r="M28" s="58">
        <f t="shared" si="1"/>
        <v>46113</v>
      </c>
      <c r="N28" s="51">
        <v>250.0</v>
      </c>
      <c r="O28" s="39" t="b">
        <v>1</v>
      </c>
      <c r="P28" s="39" t="b">
        <v>1</v>
      </c>
      <c r="Q28" s="39" t="b">
        <v>0</v>
      </c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 ht="22.5" customHeight="1">
      <c r="A29" s="39" t="b">
        <v>1</v>
      </c>
      <c r="B29" s="39" t="b">
        <v>0</v>
      </c>
      <c r="C29" s="45" t="s">
        <v>78</v>
      </c>
      <c r="D29" s="45" t="s">
        <v>79</v>
      </c>
      <c r="E29" s="46"/>
      <c r="F29" s="47" t="s">
        <v>8</v>
      </c>
      <c r="G29" s="39" t="b">
        <v>1</v>
      </c>
      <c r="H29" s="47" t="s">
        <v>10</v>
      </c>
      <c r="I29" s="39" t="b">
        <v>1</v>
      </c>
      <c r="J29" s="45"/>
      <c r="K29" s="56">
        <v>46082.0</v>
      </c>
      <c r="L29" s="57">
        <v>1.0</v>
      </c>
      <c r="M29" s="58">
        <f t="shared" si="1"/>
        <v>46113</v>
      </c>
      <c r="N29" s="51">
        <v>250.0</v>
      </c>
      <c r="O29" s="39" t="b">
        <v>1</v>
      </c>
      <c r="P29" s="39" t="b">
        <v>1</v>
      </c>
      <c r="Q29" s="39" t="b">
        <v>0</v>
      </c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ht="22.5" customHeight="1">
      <c r="A30" s="39" t="b">
        <v>1</v>
      </c>
      <c r="B30" s="39" t="b">
        <v>0</v>
      </c>
      <c r="C30" s="45" t="s">
        <v>80</v>
      </c>
      <c r="D30" s="45" t="s">
        <v>81</v>
      </c>
      <c r="E30" s="46" t="s">
        <v>82</v>
      </c>
      <c r="F30" s="47" t="s">
        <v>8</v>
      </c>
      <c r="G30" s="39" t="b">
        <v>1</v>
      </c>
      <c r="H30" s="47" t="s">
        <v>8</v>
      </c>
      <c r="I30" s="39" t="b">
        <v>1</v>
      </c>
      <c r="J30" s="45"/>
      <c r="K30" s="56">
        <v>46082.0</v>
      </c>
      <c r="L30" s="57">
        <v>1.0</v>
      </c>
      <c r="M30" s="58">
        <f t="shared" si="1"/>
        <v>46113</v>
      </c>
      <c r="N30" s="51">
        <v>250.0</v>
      </c>
      <c r="O30" s="39" t="b">
        <v>1</v>
      </c>
      <c r="P30" s="39" t="b">
        <v>1</v>
      </c>
      <c r="Q30" s="39" t="b">
        <v>0</v>
      </c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 ht="22.5" customHeight="1">
      <c r="A31" s="68" t="b">
        <v>1</v>
      </c>
      <c r="B31" s="68" t="b">
        <v>0</v>
      </c>
      <c r="C31" s="69" t="s">
        <v>83</v>
      </c>
      <c r="D31" s="69" t="s">
        <v>84</v>
      </c>
      <c r="E31" s="70" t="s">
        <v>85</v>
      </c>
      <c r="F31" s="71" t="s">
        <v>8</v>
      </c>
      <c r="G31" s="68" t="b">
        <v>1</v>
      </c>
      <c r="H31" s="71"/>
      <c r="I31" s="68" t="b">
        <v>0</v>
      </c>
      <c r="J31" s="69"/>
      <c r="K31" s="83">
        <v>46073.0</v>
      </c>
      <c r="L31" s="84">
        <v>1.0</v>
      </c>
      <c r="M31" s="85">
        <f t="shared" si="1"/>
        <v>46101</v>
      </c>
      <c r="N31" s="75">
        <v>250.0</v>
      </c>
      <c r="O31" s="68" t="b">
        <v>1</v>
      </c>
      <c r="P31" s="68" t="b">
        <v>1</v>
      </c>
      <c r="Q31" s="68" t="b">
        <v>0</v>
      </c>
      <c r="R31" s="76"/>
      <c r="S31" s="76"/>
      <c r="T31" s="76"/>
      <c r="U31" s="76"/>
      <c r="V31" s="76"/>
      <c r="W31" s="76"/>
      <c r="X31" s="76"/>
      <c r="Y31" s="76"/>
      <c r="Z31" s="76"/>
      <c r="AA31" s="76"/>
    </row>
    <row r="32" ht="22.5" customHeight="1">
      <c r="A32" s="39" t="b">
        <v>1</v>
      </c>
      <c r="B32" s="39" t="b">
        <v>0</v>
      </c>
      <c r="C32" s="45" t="s">
        <v>86</v>
      </c>
      <c r="D32" s="45" t="s">
        <v>87</v>
      </c>
      <c r="E32" s="46" t="s">
        <v>88</v>
      </c>
      <c r="F32" s="47" t="s">
        <v>8</v>
      </c>
      <c r="G32" s="39" t="b">
        <v>1</v>
      </c>
      <c r="H32" s="47" t="s">
        <v>8</v>
      </c>
      <c r="I32" s="39" t="b">
        <v>1</v>
      </c>
      <c r="J32" s="45"/>
      <c r="K32" s="56">
        <v>46084.0</v>
      </c>
      <c r="L32" s="57">
        <v>1.0</v>
      </c>
      <c r="M32" s="58">
        <f t="shared" si="1"/>
        <v>46115</v>
      </c>
      <c r="N32" s="51">
        <v>250.0</v>
      </c>
      <c r="O32" s="39" t="b">
        <v>1</v>
      </c>
      <c r="P32" s="39" t="b">
        <v>1</v>
      </c>
      <c r="Q32" s="39" t="b">
        <v>0</v>
      </c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 ht="22.5" customHeight="1">
      <c r="A33" s="39" t="b">
        <v>1</v>
      </c>
      <c r="B33" s="39" t="b">
        <v>0</v>
      </c>
      <c r="C33" s="45" t="s">
        <v>89</v>
      </c>
      <c r="D33" s="45" t="s">
        <v>90</v>
      </c>
      <c r="E33" s="46" t="s">
        <v>91</v>
      </c>
      <c r="F33" s="47" t="s">
        <v>8</v>
      </c>
      <c r="G33" s="39" t="b">
        <v>1</v>
      </c>
      <c r="H33" s="47"/>
      <c r="I33" s="39" t="b">
        <v>0</v>
      </c>
      <c r="J33" s="45"/>
      <c r="K33" s="56">
        <v>46056.0</v>
      </c>
      <c r="L33" s="57">
        <v>1.0</v>
      </c>
      <c r="M33" s="58">
        <f t="shared" si="1"/>
        <v>46084</v>
      </c>
      <c r="N33" s="51">
        <v>250.0</v>
      </c>
      <c r="O33" s="39" t="b">
        <v>1</v>
      </c>
      <c r="P33" s="39" t="b">
        <v>1</v>
      </c>
      <c r="Q33" s="39" t="b">
        <v>0</v>
      </c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ht="22.5" customHeight="1">
      <c r="A34" s="40" t="b">
        <v>1</v>
      </c>
      <c r="B34" s="40" t="b">
        <v>0</v>
      </c>
      <c r="C34" s="29" t="s">
        <v>92</v>
      </c>
      <c r="D34" s="32" t="s">
        <v>93</v>
      </c>
      <c r="E34" s="77" t="s">
        <v>94</v>
      </c>
      <c r="F34" s="41" t="s">
        <v>8</v>
      </c>
      <c r="G34" s="40" t="b">
        <v>1</v>
      </c>
      <c r="H34" s="41" t="s">
        <v>9</v>
      </c>
      <c r="I34" s="40" t="b">
        <v>1</v>
      </c>
      <c r="J34" s="32"/>
      <c r="K34" s="42">
        <v>46071.0</v>
      </c>
      <c r="L34" s="43">
        <v>1.0</v>
      </c>
      <c r="M34" s="35">
        <f t="shared" si="1"/>
        <v>46099</v>
      </c>
      <c r="N34" s="79">
        <v>250.0</v>
      </c>
      <c r="O34" s="80" t="b">
        <v>1</v>
      </c>
      <c r="P34" s="81" t="b">
        <v>0</v>
      </c>
      <c r="Q34" s="82" t="b">
        <v>0</v>
      </c>
    </row>
    <row r="35" ht="22.5" customHeight="1">
      <c r="A35" s="40" t="b">
        <v>1</v>
      </c>
      <c r="B35" s="40" t="b">
        <v>0</v>
      </c>
      <c r="C35" s="29" t="s">
        <v>95</v>
      </c>
      <c r="D35" s="32" t="s">
        <v>96</v>
      </c>
      <c r="E35" s="77" t="s">
        <v>97</v>
      </c>
      <c r="F35" s="41" t="s">
        <v>8</v>
      </c>
      <c r="G35" s="40" t="b">
        <v>1</v>
      </c>
      <c r="H35" s="41"/>
      <c r="I35" s="40" t="b">
        <v>0</v>
      </c>
      <c r="J35" s="32"/>
      <c r="K35" s="33">
        <v>46071.0</v>
      </c>
      <c r="L35" s="34">
        <v>1.0</v>
      </c>
      <c r="M35" s="35">
        <f t="shared" si="1"/>
        <v>46099</v>
      </c>
      <c r="N35" s="79">
        <v>125.0</v>
      </c>
      <c r="O35" s="80" t="b">
        <v>1</v>
      </c>
      <c r="P35" s="81" t="b">
        <v>1</v>
      </c>
      <c r="Q35" s="82" t="b">
        <v>0</v>
      </c>
    </row>
    <row r="36" ht="22.5" customHeight="1">
      <c r="A36" s="39" t="b">
        <v>1</v>
      </c>
      <c r="B36" s="39" t="b">
        <v>0</v>
      </c>
      <c r="C36" s="45" t="s">
        <v>98</v>
      </c>
      <c r="D36" s="45" t="s">
        <v>70</v>
      </c>
      <c r="E36" s="46" t="s">
        <v>74</v>
      </c>
      <c r="F36" s="47" t="s">
        <v>8</v>
      </c>
      <c r="G36" s="39" t="b">
        <v>1</v>
      </c>
      <c r="H36" s="47"/>
      <c r="I36" s="39" t="b">
        <v>0</v>
      </c>
      <c r="J36" s="45"/>
      <c r="K36" s="56">
        <v>46063.0</v>
      </c>
      <c r="L36" s="57">
        <v>1.0</v>
      </c>
      <c r="M36" s="58">
        <f t="shared" si="1"/>
        <v>46091</v>
      </c>
      <c r="N36" s="51">
        <v>250.0</v>
      </c>
      <c r="O36" s="39" t="b">
        <v>1</v>
      </c>
      <c r="P36" s="39" t="b">
        <v>1</v>
      </c>
      <c r="Q36" s="39" t="b">
        <v>0</v>
      </c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 ht="22.5" customHeight="1">
      <c r="A37" s="38" t="b">
        <v>1</v>
      </c>
      <c r="B37" s="38" t="b">
        <v>0</v>
      </c>
      <c r="C37" s="59" t="s">
        <v>99</v>
      </c>
      <c r="D37" s="59" t="s">
        <v>54</v>
      </c>
      <c r="E37" s="60" t="s">
        <v>55</v>
      </c>
      <c r="F37" s="61" t="s">
        <v>8</v>
      </c>
      <c r="G37" s="38" t="b">
        <v>1</v>
      </c>
      <c r="H37" s="61"/>
      <c r="I37" s="38" t="b">
        <v>1</v>
      </c>
      <c r="J37" s="59"/>
      <c r="K37" s="62">
        <v>46079.0</v>
      </c>
      <c r="L37" s="63">
        <v>1.0</v>
      </c>
      <c r="M37" s="64">
        <f t="shared" si="1"/>
        <v>46107</v>
      </c>
      <c r="N37" s="65">
        <v>250.0</v>
      </c>
      <c r="O37" s="38" t="b">
        <v>1</v>
      </c>
      <c r="P37" s="38" t="b">
        <v>1</v>
      </c>
      <c r="Q37" s="38" t="b">
        <v>0</v>
      </c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ht="22.5" customHeight="1">
      <c r="A38" s="39" t="b">
        <v>1</v>
      </c>
      <c r="B38" s="39" t="b">
        <v>0</v>
      </c>
      <c r="C38" s="45" t="s">
        <v>100</v>
      </c>
      <c r="D38" s="45" t="s">
        <v>76</v>
      </c>
      <c r="E38" s="46" t="s">
        <v>77</v>
      </c>
      <c r="F38" s="47" t="s">
        <v>8</v>
      </c>
      <c r="G38" s="39" t="b">
        <v>1</v>
      </c>
      <c r="H38" s="47"/>
      <c r="I38" s="39" t="b">
        <v>0</v>
      </c>
      <c r="J38" s="45"/>
      <c r="K38" s="86">
        <v>46074.0</v>
      </c>
      <c r="L38" s="87">
        <v>1.0</v>
      </c>
      <c r="M38" s="86">
        <f t="shared" si="1"/>
        <v>46102</v>
      </c>
      <c r="N38" s="51">
        <v>250.0</v>
      </c>
      <c r="O38" s="39" t="b">
        <v>1</v>
      </c>
      <c r="P38" s="39" t="b">
        <v>1</v>
      </c>
      <c r="Q38" s="39" t="b">
        <v>0</v>
      </c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 ht="22.5" customHeight="1">
      <c r="A39" s="68" t="b">
        <v>1</v>
      </c>
      <c r="B39" s="68" t="b">
        <v>0</v>
      </c>
      <c r="C39" s="69" t="s">
        <v>101</v>
      </c>
      <c r="D39" s="69" t="s">
        <v>102</v>
      </c>
      <c r="E39" s="70" t="s">
        <v>103</v>
      </c>
      <c r="F39" s="71" t="s">
        <v>9</v>
      </c>
      <c r="G39" s="68" t="b">
        <v>1</v>
      </c>
      <c r="H39" s="71" t="s">
        <v>9</v>
      </c>
      <c r="I39" s="68" t="b">
        <v>1</v>
      </c>
      <c r="J39" s="69"/>
      <c r="K39" s="88">
        <v>46082.0</v>
      </c>
      <c r="L39" s="89">
        <v>1.0</v>
      </c>
      <c r="M39" s="88">
        <f t="shared" si="1"/>
        <v>46113</v>
      </c>
      <c r="N39" s="75">
        <v>250.0</v>
      </c>
      <c r="O39" s="68" t="b">
        <v>0</v>
      </c>
      <c r="P39" s="68" t="b">
        <v>0</v>
      </c>
      <c r="Q39" s="68" t="b">
        <v>0</v>
      </c>
      <c r="R39" s="76"/>
      <c r="S39" s="76"/>
      <c r="T39" s="76"/>
      <c r="U39" s="76"/>
      <c r="V39" s="76"/>
      <c r="W39" s="76"/>
      <c r="X39" s="76"/>
      <c r="Y39" s="76"/>
      <c r="Z39" s="76"/>
      <c r="AA39" s="76"/>
    </row>
    <row r="40" ht="22.5" customHeight="1">
      <c r="A40" s="40" t="b">
        <v>0</v>
      </c>
      <c r="B40" s="40" t="b">
        <v>0</v>
      </c>
      <c r="C40" s="32"/>
      <c r="D40" s="32"/>
      <c r="E40" s="77"/>
      <c r="F40" s="90"/>
      <c r="G40" s="40" t="b">
        <v>0</v>
      </c>
      <c r="H40" s="41"/>
      <c r="I40" s="40" t="b">
        <v>0</v>
      </c>
      <c r="J40" s="32"/>
      <c r="K40" s="91"/>
      <c r="L40" s="92"/>
      <c r="M40" s="91" t="str">
        <f t="shared" si="1"/>
        <v/>
      </c>
      <c r="N40" s="79"/>
      <c r="O40" s="80" t="b">
        <v>0</v>
      </c>
      <c r="P40" s="81" t="b">
        <v>0</v>
      </c>
      <c r="Q40" s="82" t="b">
        <v>0</v>
      </c>
    </row>
    <row r="41" ht="22.5" customHeight="1">
      <c r="A41" s="40" t="b">
        <v>0</v>
      </c>
      <c r="B41" s="40" t="b">
        <v>0</v>
      </c>
      <c r="C41" s="32"/>
      <c r="D41" s="32"/>
      <c r="E41" s="77"/>
      <c r="F41" s="90"/>
      <c r="G41" s="40" t="b">
        <v>0</v>
      </c>
      <c r="H41" s="41"/>
      <c r="I41" s="40" t="b">
        <v>0</v>
      </c>
      <c r="J41" s="32"/>
      <c r="K41" s="91"/>
      <c r="L41" s="92"/>
      <c r="M41" s="91" t="str">
        <f t="shared" si="1"/>
        <v/>
      </c>
      <c r="N41" s="79"/>
      <c r="O41" s="80" t="b">
        <v>0</v>
      </c>
      <c r="P41" s="81" t="b">
        <v>0</v>
      </c>
      <c r="Q41" s="82" t="b">
        <v>0</v>
      </c>
    </row>
    <row r="42" ht="22.5" customHeight="1">
      <c r="A42" s="40" t="b">
        <v>0</v>
      </c>
      <c r="B42" s="40" t="b">
        <v>0</v>
      </c>
      <c r="C42" s="32"/>
      <c r="D42" s="32"/>
      <c r="E42" s="77"/>
      <c r="F42" s="90"/>
      <c r="G42" s="40" t="b">
        <v>0</v>
      </c>
      <c r="H42" s="41"/>
      <c r="I42" s="40" t="b">
        <v>0</v>
      </c>
      <c r="J42" s="32"/>
      <c r="K42" s="91"/>
      <c r="L42" s="92"/>
      <c r="M42" s="91" t="str">
        <f t="shared" si="1"/>
        <v/>
      </c>
      <c r="N42" s="79"/>
      <c r="O42" s="80" t="b">
        <v>0</v>
      </c>
      <c r="P42" s="81" t="b">
        <v>0</v>
      </c>
      <c r="Q42" s="82" t="b">
        <v>0</v>
      </c>
    </row>
    <row r="43" ht="22.5" customHeight="1">
      <c r="A43" s="40" t="b">
        <v>0</v>
      </c>
      <c r="B43" s="40" t="b">
        <v>0</v>
      </c>
      <c r="C43" s="32"/>
      <c r="D43" s="32"/>
      <c r="E43" s="77"/>
      <c r="F43" s="90"/>
      <c r="G43" s="40" t="b">
        <v>0</v>
      </c>
      <c r="H43" s="41"/>
      <c r="I43" s="40" t="b">
        <v>0</v>
      </c>
      <c r="J43" s="32"/>
      <c r="K43" s="91"/>
      <c r="L43" s="92"/>
      <c r="M43" s="91" t="str">
        <f t="shared" si="1"/>
        <v/>
      </c>
      <c r="N43" s="79"/>
      <c r="O43" s="80" t="b">
        <v>0</v>
      </c>
      <c r="P43" s="81" t="b">
        <v>0</v>
      </c>
      <c r="Q43" s="82" t="b">
        <v>0</v>
      </c>
    </row>
    <row r="44" ht="22.5" customHeight="1">
      <c r="A44" s="40" t="b">
        <v>0</v>
      </c>
      <c r="B44" s="40" t="b">
        <v>0</v>
      </c>
      <c r="C44" s="32"/>
      <c r="D44" s="32"/>
      <c r="E44" s="77"/>
      <c r="F44" s="90"/>
      <c r="G44" s="40" t="b">
        <v>0</v>
      </c>
      <c r="H44" s="41"/>
      <c r="I44" s="40" t="b">
        <v>0</v>
      </c>
      <c r="J44" s="32"/>
      <c r="K44" s="91"/>
      <c r="L44" s="92"/>
      <c r="M44" s="91" t="str">
        <f t="shared" si="1"/>
        <v/>
      </c>
      <c r="N44" s="79"/>
      <c r="O44" s="80" t="b">
        <v>0</v>
      </c>
      <c r="P44" s="81" t="b">
        <v>0</v>
      </c>
      <c r="Q44" s="82" t="b">
        <v>0</v>
      </c>
    </row>
    <row r="45" ht="22.5" customHeight="1">
      <c r="A45" s="40" t="b">
        <v>0</v>
      </c>
      <c r="B45" s="40" t="b">
        <v>0</v>
      </c>
      <c r="C45" s="32"/>
      <c r="D45" s="32"/>
      <c r="E45" s="77"/>
      <c r="F45" s="90"/>
      <c r="G45" s="40" t="b">
        <v>0</v>
      </c>
      <c r="H45" s="41"/>
      <c r="I45" s="40" t="b">
        <v>0</v>
      </c>
      <c r="J45" s="32"/>
      <c r="K45" s="91"/>
      <c r="L45" s="92"/>
      <c r="M45" s="91" t="str">
        <f t="shared" si="1"/>
        <v/>
      </c>
      <c r="N45" s="79"/>
      <c r="O45" s="80" t="b">
        <v>0</v>
      </c>
      <c r="P45" s="81" t="b">
        <v>0</v>
      </c>
      <c r="Q45" s="82" t="b">
        <v>0</v>
      </c>
    </row>
    <row r="46" ht="22.5" customHeight="1">
      <c r="A46" s="40" t="b">
        <v>0</v>
      </c>
      <c r="B46" s="40" t="b">
        <v>0</v>
      </c>
      <c r="C46" s="32"/>
      <c r="D46" s="32"/>
      <c r="E46" s="77"/>
      <c r="F46" s="90"/>
      <c r="G46" s="40" t="b">
        <v>0</v>
      </c>
      <c r="H46" s="41"/>
      <c r="I46" s="40" t="b">
        <v>0</v>
      </c>
      <c r="J46" s="32"/>
      <c r="K46" s="91"/>
      <c r="L46" s="92"/>
      <c r="M46" s="91" t="str">
        <f t="shared" si="1"/>
        <v/>
      </c>
      <c r="N46" s="79"/>
      <c r="O46" s="80" t="b">
        <v>0</v>
      </c>
      <c r="P46" s="81" t="b">
        <v>0</v>
      </c>
      <c r="Q46" s="82" t="b">
        <v>0</v>
      </c>
    </row>
    <row r="47" ht="22.5" customHeight="1">
      <c r="A47" s="40" t="b">
        <v>0</v>
      </c>
      <c r="B47" s="40" t="b">
        <v>0</v>
      </c>
      <c r="C47" s="32"/>
      <c r="D47" s="32"/>
      <c r="E47" s="77"/>
      <c r="F47" s="90"/>
      <c r="G47" s="40" t="b">
        <v>0</v>
      </c>
      <c r="H47" s="41"/>
      <c r="I47" s="40" t="b">
        <v>0</v>
      </c>
      <c r="J47" s="32"/>
      <c r="K47" s="91"/>
      <c r="L47" s="92"/>
      <c r="M47" s="91" t="str">
        <f t="shared" si="1"/>
        <v/>
      </c>
      <c r="N47" s="79"/>
      <c r="O47" s="80" t="b">
        <v>0</v>
      </c>
      <c r="P47" s="81" t="b">
        <v>0</v>
      </c>
      <c r="Q47" s="82" t="b">
        <v>0</v>
      </c>
    </row>
    <row r="48" ht="22.5" customHeight="1">
      <c r="A48" s="40" t="b">
        <v>0</v>
      </c>
      <c r="B48" s="40" t="b">
        <v>0</v>
      </c>
      <c r="C48" s="32"/>
      <c r="D48" s="32"/>
      <c r="E48" s="77"/>
      <c r="F48" s="90"/>
      <c r="G48" s="40" t="b">
        <v>0</v>
      </c>
      <c r="H48" s="41"/>
      <c r="I48" s="40" t="b">
        <v>0</v>
      </c>
      <c r="J48" s="32"/>
      <c r="K48" s="91"/>
      <c r="L48" s="92"/>
      <c r="M48" s="91" t="str">
        <f t="shared" si="1"/>
        <v/>
      </c>
      <c r="N48" s="79"/>
      <c r="O48" s="80" t="b">
        <v>0</v>
      </c>
      <c r="P48" s="81" t="b">
        <v>0</v>
      </c>
      <c r="Q48" s="82" t="b">
        <v>0</v>
      </c>
    </row>
    <row r="49" ht="22.5" customHeight="1">
      <c r="A49" s="40" t="b">
        <v>0</v>
      </c>
      <c r="B49" s="40" t="b">
        <v>0</v>
      </c>
      <c r="C49" s="32"/>
      <c r="D49" s="32"/>
      <c r="E49" s="77"/>
      <c r="F49" s="90"/>
      <c r="G49" s="40" t="b">
        <v>0</v>
      </c>
      <c r="H49" s="41"/>
      <c r="I49" s="40" t="b">
        <v>0</v>
      </c>
      <c r="J49" s="32"/>
      <c r="K49" s="91"/>
      <c r="L49" s="92"/>
      <c r="M49" s="91" t="str">
        <f t="shared" si="1"/>
        <v/>
      </c>
      <c r="N49" s="79"/>
      <c r="O49" s="80" t="b">
        <v>0</v>
      </c>
      <c r="P49" s="81" t="b">
        <v>0</v>
      </c>
      <c r="Q49" s="82" t="b">
        <v>0</v>
      </c>
    </row>
    <row r="50" ht="22.5" customHeight="1">
      <c r="A50" s="40" t="b">
        <v>0</v>
      </c>
      <c r="B50" s="40" t="b">
        <v>0</v>
      </c>
      <c r="C50" s="32"/>
      <c r="D50" s="32"/>
      <c r="E50" s="77"/>
      <c r="F50" s="90"/>
      <c r="G50" s="40" t="b">
        <v>0</v>
      </c>
      <c r="H50" s="41"/>
      <c r="I50" s="40" t="b">
        <v>0</v>
      </c>
      <c r="J50" s="32"/>
      <c r="K50" s="91"/>
      <c r="L50" s="92"/>
      <c r="M50" s="91" t="str">
        <f t="shared" si="1"/>
        <v/>
      </c>
      <c r="N50" s="79"/>
      <c r="O50" s="80" t="b">
        <v>0</v>
      </c>
      <c r="P50" s="81" t="b">
        <v>0</v>
      </c>
      <c r="Q50" s="82" t="b">
        <v>0</v>
      </c>
    </row>
    <row r="51" ht="22.5" customHeight="1">
      <c r="A51" s="40" t="b">
        <v>0</v>
      </c>
      <c r="B51" s="40" t="b">
        <v>0</v>
      </c>
      <c r="C51" s="32"/>
      <c r="D51" s="32"/>
      <c r="E51" s="77"/>
      <c r="F51" s="90"/>
      <c r="G51" s="40" t="b">
        <v>0</v>
      </c>
      <c r="H51" s="41"/>
      <c r="I51" s="40" t="b">
        <v>0</v>
      </c>
      <c r="J51" s="32"/>
      <c r="K51" s="91"/>
      <c r="L51" s="92"/>
      <c r="M51" s="91" t="str">
        <f t="shared" si="1"/>
        <v/>
      </c>
      <c r="N51" s="79"/>
      <c r="O51" s="80" t="b">
        <v>0</v>
      </c>
      <c r="P51" s="81" t="b">
        <v>0</v>
      </c>
      <c r="Q51" s="82" t="b">
        <v>0</v>
      </c>
    </row>
    <row r="52" ht="22.5" customHeight="1">
      <c r="A52" s="40" t="b">
        <v>0</v>
      </c>
      <c r="B52" s="40" t="b">
        <v>0</v>
      </c>
      <c r="C52" s="32"/>
      <c r="D52" s="32"/>
      <c r="E52" s="77"/>
      <c r="F52" s="90"/>
      <c r="G52" s="40" t="b">
        <v>0</v>
      </c>
      <c r="H52" s="41"/>
      <c r="I52" s="40" t="b">
        <v>0</v>
      </c>
      <c r="J52" s="32"/>
      <c r="K52" s="91"/>
      <c r="L52" s="92"/>
      <c r="M52" s="91" t="str">
        <f t="shared" si="1"/>
        <v/>
      </c>
      <c r="N52" s="79"/>
      <c r="O52" s="80" t="b">
        <v>0</v>
      </c>
      <c r="P52" s="81" t="b">
        <v>0</v>
      </c>
      <c r="Q52" s="82" t="b">
        <v>0</v>
      </c>
    </row>
    <row r="53" ht="22.5" customHeight="1">
      <c r="A53" s="40" t="b">
        <v>0</v>
      </c>
      <c r="B53" s="40" t="b">
        <v>0</v>
      </c>
      <c r="C53" s="32"/>
      <c r="D53" s="32"/>
      <c r="E53" s="77"/>
      <c r="F53" s="90"/>
      <c r="G53" s="40" t="b">
        <v>0</v>
      </c>
      <c r="H53" s="41"/>
      <c r="I53" s="40" t="b">
        <v>0</v>
      </c>
      <c r="J53" s="32"/>
      <c r="K53" s="91"/>
      <c r="L53" s="92"/>
      <c r="M53" s="91" t="str">
        <f t="shared" si="1"/>
        <v/>
      </c>
      <c r="N53" s="79"/>
      <c r="O53" s="80" t="b">
        <v>0</v>
      </c>
      <c r="P53" s="81" t="b">
        <v>0</v>
      </c>
      <c r="Q53" s="82" t="b">
        <v>0</v>
      </c>
    </row>
    <row r="54" ht="22.5" customHeight="1">
      <c r="A54" s="40" t="b">
        <v>0</v>
      </c>
      <c r="B54" s="40" t="b">
        <v>0</v>
      </c>
      <c r="C54" s="32"/>
      <c r="D54" s="32"/>
      <c r="E54" s="77"/>
      <c r="F54" s="90"/>
      <c r="G54" s="40" t="b">
        <v>0</v>
      </c>
      <c r="H54" s="41"/>
      <c r="I54" s="40" t="b">
        <v>0</v>
      </c>
      <c r="J54" s="32"/>
      <c r="K54" s="91"/>
      <c r="L54" s="92"/>
      <c r="M54" s="91" t="str">
        <f t="shared" si="1"/>
        <v/>
      </c>
      <c r="N54" s="79"/>
      <c r="O54" s="80" t="b">
        <v>0</v>
      </c>
      <c r="P54" s="81" t="b">
        <v>0</v>
      </c>
      <c r="Q54" s="82" t="b">
        <v>0</v>
      </c>
    </row>
    <row r="55" ht="22.5" customHeight="1">
      <c r="A55" s="40" t="b">
        <v>0</v>
      </c>
      <c r="B55" s="40" t="b">
        <v>0</v>
      </c>
      <c r="C55" s="32"/>
      <c r="D55" s="32"/>
      <c r="E55" s="77"/>
      <c r="F55" s="90"/>
      <c r="G55" s="40" t="b">
        <v>0</v>
      </c>
      <c r="H55" s="41"/>
      <c r="I55" s="40" t="b">
        <v>0</v>
      </c>
      <c r="J55" s="32"/>
      <c r="K55" s="91"/>
      <c r="L55" s="92"/>
      <c r="M55" s="91" t="str">
        <f t="shared" si="1"/>
        <v/>
      </c>
      <c r="N55" s="79"/>
      <c r="O55" s="80" t="b">
        <v>0</v>
      </c>
      <c r="P55" s="81" t="b">
        <v>0</v>
      </c>
      <c r="Q55" s="82" t="b">
        <v>0</v>
      </c>
    </row>
    <row r="56" ht="22.5" customHeight="1">
      <c r="A56" s="40" t="b">
        <v>0</v>
      </c>
      <c r="B56" s="40" t="b">
        <v>0</v>
      </c>
      <c r="C56" s="32"/>
      <c r="D56" s="32"/>
      <c r="E56" s="77"/>
      <c r="F56" s="90"/>
      <c r="G56" s="40" t="b">
        <v>0</v>
      </c>
      <c r="H56" s="41"/>
      <c r="I56" s="40" t="b">
        <v>0</v>
      </c>
      <c r="J56" s="32"/>
      <c r="K56" s="91"/>
      <c r="L56" s="92"/>
      <c r="M56" s="91" t="str">
        <f t="shared" si="1"/>
        <v/>
      </c>
      <c r="N56" s="79"/>
      <c r="O56" s="80" t="b">
        <v>0</v>
      </c>
      <c r="P56" s="81" t="b">
        <v>0</v>
      </c>
      <c r="Q56" s="82" t="b">
        <v>0</v>
      </c>
    </row>
    <row r="57" ht="22.5" customHeight="1">
      <c r="A57" s="40" t="b">
        <v>0</v>
      </c>
      <c r="B57" s="40" t="b">
        <v>0</v>
      </c>
      <c r="C57" s="32"/>
      <c r="D57" s="32"/>
      <c r="E57" s="77"/>
      <c r="F57" s="90"/>
      <c r="G57" s="40" t="b">
        <v>0</v>
      </c>
      <c r="H57" s="41"/>
      <c r="I57" s="40" t="b">
        <v>0</v>
      </c>
      <c r="J57" s="32"/>
      <c r="K57" s="91"/>
      <c r="L57" s="92"/>
      <c r="M57" s="91" t="str">
        <f t="shared" si="1"/>
        <v/>
      </c>
      <c r="N57" s="79"/>
      <c r="O57" s="80" t="b">
        <v>0</v>
      </c>
      <c r="P57" s="81" t="b">
        <v>0</v>
      </c>
      <c r="Q57" s="82" t="b">
        <v>0</v>
      </c>
    </row>
    <row r="58" ht="22.5" customHeight="1">
      <c r="A58" s="40" t="b">
        <v>0</v>
      </c>
      <c r="B58" s="40" t="b">
        <v>0</v>
      </c>
      <c r="C58" s="32"/>
      <c r="D58" s="32"/>
      <c r="E58" s="77"/>
      <c r="F58" s="90"/>
      <c r="G58" s="40" t="b">
        <v>0</v>
      </c>
      <c r="H58" s="41"/>
      <c r="I58" s="40" t="b">
        <v>0</v>
      </c>
      <c r="J58" s="32"/>
      <c r="K58" s="91"/>
      <c r="L58" s="92"/>
      <c r="M58" s="91" t="str">
        <f t="shared" si="1"/>
        <v/>
      </c>
      <c r="N58" s="79"/>
      <c r="O58" s="80" t="b">
        <v>0</v>
      </c>
      <c r="P58" s="81" t="b">
        <v>0</v>
      </c>
      <c r="Q58" s="82" t="b">
        <v>0</v>
      </c>
    </row>
    <row r="59" ht="22.5" customHeight="1">
      <c r="A59" s="40" t="b">
        <v>0</v>
      </c>
      <c r="B59" s="40" t="b">
        <v>0</v>
      </c>
      <c r="C59" s="32"/>
      <c r="D59" s="32"/>
      <c r="E59" s="77"/>
      <c r="F59" s="90"/>
      <c r="G59" s="40" t="b">
        <v>0</v>
      </c>
      <c r="H59" s="41"/>
      <c r="I59" s="40" t="b">
        <v>0</v>
      </c>
      <c r="J59" s="32"/>
      <c r="K59" s="91"/>
      <c r="L59" s="92"/>
      <c r="M59" s="91" t="str">
        <f t="shared" si="1"/>
        <v/>
      </c>
      <c r="N59" s="79"/>
      <c r="O59" s="80" t="b">
        <v>0</v>
      </c>
      <c r="P59" s="81" t="b">
        <v>0</v>
      </c>
      <c r="Q59" s="82" t="b">
        <v>0</v>
      </c>
    </row>
    <row r="60" ht="22.5" customHeight="1">
      <c r="A60" s="40" t="b">
        <v>0</v>
      </c>
      <c r="B60" s="40" t="b">
        <v>0</v>
      </c>
      <c r="C60" s="32"/>
      <c r="D60" s="32"/>
      <c r="E60" s="77"/>
      <c r="F60" s="90"/>
      <c r="G60" s="40" t="b">
        <v>0</v>
      </c>
      <c r="H60" s="41"/>
      <c r="I60" s="40" t="b">
        <v>0</v>
      </c>
      <c r="J60" s="32"/>
      <c r="K60" s="91"/>
      <c r="L60" s="92"/>
      <c r="M60" s="91" t="str">
        <f t="shared" si="1"/>
        <v/>
      </c>
      <c r="N60" s="79"/>
      <c r="O60" s="80" t="b">
        <v>0</v>
      </c>
      <c r="P60" s="81" t="b">
        <v>0</v>
      </c>
      <c r="Q60" s="82" t="b">
        <v>0</v>
      </c>
    </row>
    <row r="61" ht="22.5" customHeight="1">
      <c r="A61" s="40" t="b">
        <v>0</v>
      </c>
      <c r="B61" s="40" t="b">
        <v>0</v>
      </c>
      <c r="C61" s="32"/>
      <c r="D61" s="32"/>
      <c r="E61" s="77"/>
      <c r="F61" s="90"/>
      <c r="G61" s="40" t="b">
        <v>0</v>
      </c>
      <c r="H61" s="41"/>
      <c r="I61" s="40" t="b">
        <v>0</v>
      </c>
      <c r="J61" s="32"/>
      <c r="K61" s="91"/>
      <c r="L61" s="92"/>
      <c r="M61" s="91" t="str">
        <f t="shared" si="1"/>
        <v/>
      </c>
      <c r="N61" s="79"/>
      <c r="O61" s="80" t="b">
        <v>0</v>
      </c>
      <c r="P61" s="81" t="b">
        <v>0</v>
      </c>
      <c r="Q61" s="82" t="b">
        <v>0</v>
      </c>
    </row>
    <row r="62" ht="22.5" customHeight="1">
      <c r="A62" s="40" t="b">
        <v>0</v>
      </c>
      <c r="B62" s="40" t="b">
        <v>0</v>
      </c>
      <c r="C62" s="32"/>
      <c r="D62" s="32"/>
      <c r="E62" s="77"/>
      <c r="F62" s="90"/>
      <c r="G62" s="40" t="b">
        <v>0</v>
      </c>
      <c r="H62" s="41"/>
      <c r="I62" s="40" t="b">
        <v>0</v>
      </c>
      <c r="J62" s="32"/>
      <c r="K62" s="91"/>
      <c r="L62" s="92"/>
      <c r="M62" s="91" t="str">
        <f t="shared" si="1"/>
        <v/>
      </c>
      <c r="N62" s="79"/>
      <c r="O62" s="80" t="b">
        <v>0</v>
      </c>
      <c r="P62" s="81" t="b">
        <v>0</v>
      </c>
      <c r="Q62" s="82" t="b">
        <v>0</v>
      </c>
    </row>
    <row r="63" ht="22.5" customHeight="1">
      <c r="A63" s="40" t="b">
        <v>0</v>
      </c>
      <c r="B63" s="40" t="b">
        <v>0</v>
      </c>
      <c r="C63" s="32"/>
      <c r="D63" s="32"/>
      <c r="E63" s="77"/>
      <c r="F63" s="90"/>
      <c r="G63" s="40" t="b">
        <v>0</v>
      </c>
      <c r="H63" s="41"/>
      <c r="I63" s="40" t="b">
        <v>0</v>
      </c>
      <c r="J63" s="32"/>
      <c r="K63" s="91"/>
      <c r="L63" s="92"/>
      <c r="M63" s="91" t="str">
        <f t="shared" si="1"/>
        <v/>
      </c>
      <c r="N63" s="79"/>
      <c r="O63" s="80" t="b">
        <v>0</v>
      </c>
      <c r="P63" s="81" t="b">
        <v>0</v>
      </c>
      <c r="Q63" s="82" t="b">
        <v>0</v>
      </c>
    </row>
    <row r="64" ht="22.5" customHeight="1">
      <c r="A64" s="40" t="b">
        <v>0</v>
      </c>
      <c r="B64" s="40" t="b">
        <v>0</v>
      </c>
      <c r="C64" s="32"/>
      <c r="D64" s="32"/>
      <c r="E64" s="77"/>
      <c r="F64" s="90"/>
      <c r="G64" s="40" t="b">
        <v>0</v>
      </c>
      <c r="H64" s="41"/>
      <c r="I64" s="40" t="b">
        <v>0</v>
      </c>
      <c r="J64" s="32"/>
      <c r="K64" s="91"/>
      <c r="L64" s="92"/>
      <c r="M64" s="91" t="str">
        <f t="shared" si="1"/>
        <v/>
      </c>
      <c r="N64" s="79"/>
      <c r="O64" s="80" t="b">
        <v>0</v>
      </c>
      <c r="P64" s="81" t="b">
        <v>0</v>
      </c>
      <c r="Q64" s="82" t="b">
        <v>0</v>
      </c>
    </row>
    <row r="65" ht="22.5" customHeight="1">
      <c r="A65" s="40" t="b">
        <v>0</v>
      </c>
      <c r="B65" s="40" t="b">
        <v>0</v>
      </c>
      <c r="C65" s="32"/>
      <c r="D65" s="32"/>
      <c r="E65" s="77"/>
      <c r="F65" s="90"/>
      <c r="G65" s="40" t="b">
        <v>0</v>
      </c>
      <c r="H65" s="41"/>
      <c r="I65" s="40" t="b">
        <v>0</v>
      </c>
      <c r="J65" s="32"/>
      <c r="K65" s="91"/>
      <c r="L65" s="92"/>
      <c r="M65" s="91" t="str">
        <f t="shared" si="1"/>
        <v/>
      </c>
      <c r="N65" s="79"/>
      <c r="O65" s="80" t="b">
        <v>0</v>
      </c>
      <c r="P65" s="81" t="b">
        <v>0</v>
      </c>
      <c r="Q65" s="82" t="b">
        <v>0</v>
      </c>
    </row>
    <row r="66" ht="22.5" customHeight="1">
      <c r="A66" s="40" t="b">
        <v>0</v>
      </c>
      <c r="B66" s="40" t="b">
        <v>0</v>
      </c>
      <c r="C66" s="32"/>
      <c r="D66" s="32"/>
      <c r="E66" s="77"/>
      <c r="F66" s="90"/>
      <c r="G66" s="40" t="b">
        <v>0</v>
      </c>
      <c r="H66" s="41"/>
      <c r="I66" s="40" t="b">
        <v>0</v>
      </c>
      <c r="J66" s="32"/>
      <c r="K66" s="91"/>
      <c r="L66" s="92"/>
      <c r="M66" s="91" t="str">
        <f t="shared" si="1"/>
        <v/>
      </c>
      <c r="N66" s="79"/>
      <c r="O66" s="80" t="b">
        <v>0</v>
      </c>
      <c r="P66" s="81" t="b">
        <v>0</v>
      </c>
      <c r="Q66" s="82" t="b">
        <v>0</v>
      </c>
    </row>
    <row r="67" ht="22.5" customHeight="1">
      <c r="A67" s="40" t="b">
        <v>0</v>
      </c>
      <c r="B67" s="40" t="b">
        <v>0</v>
      </c>
      <c r="C67" s="32"/>
      <c r="D67" s="32"/>
      <c r="E67" s="77"/>
      <c r="F67" s="90"/>
      <c r="G67" s="40" t="b">
        <v>0</v>
      </c>
      <c r="H67" s="41"/>
      <c r="I67" s="40" t="b">
        <v>0</v>
      </c>
      <c r="J67" s="32"/>
      <c r="K67" s="91"/>
      <c r="L67" s="92"/>
      <c r="M67" s="91" t="str">
        <f t="shared" si="1"/>
        <v/>
      </c>
      <c r="N67" s="79"/>
      <c r="O67" s="80" t="b">
        <v>0</v>
      </c>
      <c r="P67" s="81" t="b">
        <v>0</v>
      </c>
      <c r="Q67" s="82" t="b">
        <v>0</v>
      </c>
    </row>
    <row r="68" ht="22.5" customHeight="1">
      <c r="A68" s="40" t="b">
        <v>0</v>
      </c>
      <c r="B68" s="40" t="b">
        <v>0</v>
      </c>
      <c r="C68" s="32"/>
      <c r="D68" s="32"/>
      <c r="E68" s="77"/>
      <c r="F68" s="90"/>
      <c r="G68" s="40" t="b">
        <v>0</v>
      </c>
      <c r="H68" s="41"/>
      <c r="I68" s="40" t="b">
        <v>0</v>
      </c>
      <c r="J68" s="32"/>
      <c r="K68" s="91"/>
      <c r="L68" s="92"/>
      <c r="M68" s="91" t="str">
        <f t="shared" si="1"/>
        <v/>
      </c>
      <c r="N68" s="79"/>
      <c r="O68" s="80" t="b">
        <v>0</v>
      </c>
      <c r="P68" s="81" t="b">
        <v>0</v>
      </c>
      <c r="Q68" s="82" t="b">
        <v>0</v>
      </c>
    </row>
    <row r="69" ht="22.5" customHeight="1">
      <c r="A69" s="40" t="b">
        <v>0</v>
      </c>
      <c r="B69" s="40" t="b">
        <v>0</v>
      </c>
      <c r="C69" s="32"/>
      <c r="D69" s="32"/>
      <c r="E69" s="77"/>
      <c r="F69" s="90"/>
      <c r="G69" s="40" t="b">
        <v>0</v>
      </c>
      <c r="H69" s="41"/>
      <c r="I69" s="40" t="b">
        <v>0</v>
      </c>
      <c r="J69" s="32"/>
      <c r="K69" s="91"/>
      <c r="L69" s="92"/>
      <c r="M69" s="91" t="str">
        <f t="shared" si="1"/>
        <v/>
      </c>
      <c r="N69" s="79"/>
      <c r="O69" s="80" t="b">
        <v>0</v>
      </c>
      <c r="P69" s="81" t="b">
        <v>0</v>
      </c>
      <c r="Q69" s="82" t="b">
        <v>0</v>
      </c>
    </row>
    <row r="70" ht="22.5" customHeight="1">
      <c r="A70" s="40" t="b">
        <v>0</v>
      </c>
      <c r="B70" s="40" t="b">
        <v>0</v>
      </c>
      <c r="C70" s="32"/>
      <c r="D70" s="32"/>
      <c r="E70" s="77"/>
      <c r="F70" s="90"/>
      <c r="G70" s="40" t="b">
        <v>0</v>
      </c>
      <c r="H70" s="41"/>
      <c r="I70" s="40" t="b">
        <v>0</v>
      </c>
      <c r="J70" s="32"/>
      <c r="K70" s="91"/>
      <c r="L70" s="92"/>
      <c r="M70" s="91" t="str">
        <f t="shared" si="1"/>
        <v/>
      </c>
      <c r="N70" s="79"/>
      <c r="O70" s="80" t="b">
        <v>0</v>
      </c>
      <c r="P70" s="81" t="b">
        <v>0</v>
      </c>
      <c r="Q70" s="82" t="b">
        <v>0</v>
      </c>
    </row>
    <row r="71" ht="22.5" customHeight="1">
      <c r="A71" s="40" t="b">
        <v>0</v>
      </c>
      <c r="B71" s="40" t="b">
        <v>0</v>
      </c>
      <c r="C71" s="32"/>
      <c r="D71" s="32"/>
      <c r="E71" s="77"/>
      <c r="F71" s="90"/>
      <c r="G71" s="40" t="b">
        <v>0</v>
      </c>
      <c r="H71" s="41"/>
      <c r="I71" s="40" t="b">
        <v>0</v>
      </c>
      <c r="J71" s="32"/>
      <c r="K71" s="91"/>
      <c r="L71" s="92"/>
      <c r="M71" s="91" t="str">
        <f t="shared" si="1"/>
        <v/>
      </c>
      <c r="N71" s="79"/>
      <c r="O71" s="80" t="b">
        <v>0</v>
      </c>
      <c r="P71" s="81" t="b">
        <v>0</v>
      </c>
      <c r="Q71" s="82" t="b">
        <v>0</v>
      </c>
    </row>
    <row r="72" ht="22.5" customHeight="1">
      <c r="A72" s="40" t="b">
        <v>0</v>
      </c>
      <c r="B72" s="40" t="b">
        <v>0</v>
      </c>
      <c r="C72" s="32"/>
      <c r="D72" s="32"/>
      <c r="E72" s="77"/>
      <c r="F72" s="90"/>
      <c r="G72" s="40" t="b">
        <v>0</v>
      </c>
      <c r="H72" s="41"/>
      <c r="I72" s="40" t="b">
        <v>0</v>
      </c>
      <c r="J72" s="32"/>
      <c r="K72" s="91"/>
      <c r="L72" s="92"/>
      <c r="M72" s="91" t="str">
        <f t="shared" si="1"/>
        <v/>
      </c>
      <c r="N72" s="79"/>
      <c r="O72" s="80" t="b">
        <v>0</v>
      </c>
      <c r="P72" s="81" t="b">
        <v>0</v>
      </c>
      <c r="Q72" s="82" t="b">
        <v>0</v>
      </c>
    </row>
    <row r="73" ht="22.5" customHeight="1">
      <c r="A73" s="40" t="b">
        <v>0</v>
      </c>
      <c r="B73" s="40" t="b">
        <v>0</v>
      </c>
      <c r="C73" s="32"/>
      <c r="D73" s="32"/>
      <c r="E73" s="77"/>
      <c r="F73" s="90"/>
      <c r="G73" s="40" t="b">
        <v>0</v>
      </c>
      <c r="H73" s="41"/>
      <c r="I73" s="40" t="b">
        <v>0</v>
      </c>
      <c r="J73" s="32"/>
      <c r="K73" s="91"/>
      <c r="L73" s="92"/>
      <c r="M73" s="91" t="str">
        <f t="shared" si="1"/>
        <v/>
      </c>
      <c r="N73" s="79"/>
      <c r="O73" s="80" t="b">
        <v>0</v>
      </c>
      <c r="P73" s="81" t="b">
        <v>0</v>
      </c>
      <c r="Q73" s="82" t="b">
        <v>0</v>
      </c>
    </row>
    <row r="74" ht="22.5" customHeight="1">
      <c r="A74" s="40" t="b">
        <v>0</v>
      </c>
      <c r="B74" s="40" t="b">
        <v>0</v>
      </c>
      <c r="C74" s="32"/>
      <c r="D74" s="32"/>
      <c r="E74" s="77"/>
      <c r="F74" s="90"/>
      <c r="G74" s="40" t="b">
        <v>0</v>
      </c>
      <c r="H74" s="41"/>
      <c r="I74" s="40" t="b">
        <v>0</v>
      </c>
      <c r="J74" s="32"/>
      <c r="K74" s="91"/>
      <c r="L74" s="92"/>
      <c r="M74" s="91" t="str">
        <f t="shared" si="1"/>
        <v/>
      </c>
      <c r="N74" s="79"/>
      <c r="O74" s="80" t="b">
        <v>0</v>
      </c>
      <c r="P74" s="81" t="b">
        <v>0</v>
      </c>
      <c r="Q74" s="82" t="b">
        <v>0</v>
      </c>
    </row>
    <row r="75" ht="22.5" customHeight="1">
      <c r="A75" s="40" t="b">
        <v>0</v>
      </c>
      <c r="B75" s="40" t="b">
        <v>0</v>
      </c>
      <c r="C75" s="32"/>
      <c r="D75" s="32"/>
      <c r="E75" s="77"/>
      <c r="F75" s="90"/>
      <c r="G75" s="40" t="b">
        <v>0</v>
      </c>
      <c r="H75" s="41"/>
      <c r="I75" s="40" t="b">
        <v>0</v>
      </c>
      <c r="J75" s="32"/>
      <c r="K75" s="91"/>
      <c r="L75" s="92"/>
      <c r="M75" s="91" t="str">
        <f t="shared" si="1"/>
        <v/>
      </c>
      <c r="N75" s="79"/>
      <c r="O75" s="80" t="b">
        <v>0</v>
      </c>
      <c r="P75" s="81" t="b">
        <v>0</v>
      </c>
      <c r="Q75" s="82" t="b">
        <v>0</v>
      </c>
    </row>
    <row r="76" ht="22.5" customHeight="1">
      <c r="A76" s="40" t="b">
        <v>0</v>
      </c>
      <c r="B76" s="40" t="b">
        <v>0</v>
      </c>
      <c r="C76" s="32"/>
      <c r="D76" s="32"/>
      <c r="E76" s="77"/>
      <c r="F76" s="90"/>
      <c r="G76" s="40" t="b">
        <v>0</v>
      </c>
      <c r="H76" s="41"/>
      <c r="I76" s="40" t="b">
        <v>0</v>
      </c>
      <c r="J76" s="32"/>
      <c r="K76" s="91"/>
      <c r="L76" s="92"/>
      <c r="M76" s="91" t="str">
        <f t="shared" si="1"/>
        <v/>
      </c>
      <c r="N76" s="79"/>
      <c r="O76" s="80" t="b">
        <v>0</v>
      </c>
      <c r="P76" s="81" t="b">
        <v>0</v>
      </c>
      <c r="Q76" s="82" t="b">
        <v>0</v>
      </c>
    </row>
    <row r="77" ht="22.5" customHeight="1">
      <c r="A77" s="40" t="b">
        <v>0</v>
      </c>
      <c r="B77" s="40" t="b">
        <v>0</v>
      </c>
      <c r="C77" s="32"/>
      <c r="D77" s="32"/>
      <c r="E77" s="77"/>
      <c r="F77" s="90"/>
      <c r="G77" s="40" t="b">
        <v>0</v>
      </c>
      <c r="H77" s="41"/>
      <c r="I77" s="40" t="b">
        <v>0</v>
      </c>
      <c r="J77" s="32"/>
      <c r="K77" s="91"/>
      <c r="L77" s="92"/>
      <c r="M77" s="91" t="str">
        <f t="shared" si="1"/>
        <v/>
      </c>
      <c r="N77" s="79"/>
      <c r="O77" s="80" t="b">
        <v>0</v>
      </c>
      <c r="P77" s="81" t="b">
        <v>0</v>
      </c>
      <c r="Q77" s="82" t="b">
        <v>0</v>
      </c>
    </row>
    <row r="78" ht="22.5" customHeight="1">
      <c r="A78" s="40" t="b">
        <v>0</v>
      </c>
      <c r="B78" s="40" t="b">
        <v>0</v>
      </c>
      <c r="C78" s="32"/>
      <c r="D78" s="32"/>
      <c r="E78" s="77"/>
      <c r="F78" s="90"/>
      <c r="G78" s="40" t="b">
        <v>0</v>
      </c>
      <c r="H78" s="41"/>
      <c r="I78" s="40" t="b">
        <v>0</v>
      </c>
      <c r="J78" s="32"/>
      <c r="K78" s="91"/>
      <c r="L78" s="92"/>
      <c r="M78" s="91" t="str">
        <f t="shared" si="1"/>
        <v/>
      </c>
      <c r="N78" s="79"/>
      <c r="O78" s="80" t="b">
        <v>0</v>
      </c>
      <c r="P78" s="81" t="b">
        <v>0</v>
      </c>
      <c r="Q78" s="82" t="b">
        <v>0</v>
      </c>
    </row>
    <row r="79" ht="22.5" customHeight="1">
      <c r="A79" s="40" t="b">
        <v>0</v>
      </c>
      <c r="B79" s="40" t="b">
        <v>0</v>
      </c>
      <c r="C79" s="32"/>
      <c r="D79" s="32"/>
      <c r="E79" s="77"/>
      <c r="F79" s="90"/>
      <c r="G79" s="40" t="b">
        <v>0</v>
      </c>
      <c r="H79" s="41"/>
      <c r="I79" s="40" t="b">
        <v>0</v>
      </c>
      <c r="J79" s="32"/>
      <c r="K79" s="91"/>
      <c r="L79" s="92"/>
      <c r="M79" s="91" t="str">
        <f t="shared" si="1"/>
        <v/>
      </c>
      <c r="N79" s="79"/>
      <c r="O79" s="80" t="b">
        <v>0</v>
      </c>
      <c r="P79" s="81" t="b">
        <v>0</v>
      </c>
      <c r="Q79" s="82" t="b">
        <v>0</v>
      </c>
    </row>
    <row r="80" ht="22.5" customHeight="1">
      <c r="A80" s="40" t="b">
        <v>0</v>
      </c>
      <c r="B80" s="40" t="b">
        <v>0</v>
      </c>
      <c r="C80" s="32"/>
      <c r="D80" s="32"/>
      <c r="E80" s="77"/>
      <c r="F80" s="90"/>
      <c r="G80" s="40" t="b">
        <v>0</v>
      </c>
      <c r="H80" s="41"/>
      <c r="I80" s="40" t="b">
        <v>0</v>
      </c>
      <c r="J80" s="32"/>
      <c r="K80" s="91"/>
      <c r="L80" s="92"/>
      <c r="M80" s="91" t="str">
        <f t="shared" si="1"/>
        <v/>
      </c>
      <c r="N80" s="79"/>
      <c r="O80" s="80" t="b">
        <v>0</v>
      </c>
      <c r="P80" s="81" t="b">
        <v>0</v>
      </c>
      <c r="Q80" s="82" t="b">
        <v>0</v>
      </c>
    </row>
    <row r="81" ht="22.5" customHeight="1">
      <c r="A81" s="40" t="b">
        <v>0</v>
      </c>
      <c r="B81" s="40" t="b">
        <v>0</v>
      </c>
      <c r="C81" s="32"/>
      <c r="D81" s="32"/>
      <c r="E81" s="77"/>
      <c r="F81" s="90"/>
      <c r="G81" s="40" t="b">
        <v>0</v>
      </c>
      <c r="H81" s="41"/>
      <c r="I81" s="40" t="b">
        <v>0</v>
      </c>
      <c r="J81" s="32"/>
      <c r="K81" s="91"/>
      <c r="L81" s="92"/>
      <c r="M81" s="91" t="str">
        <f t="shared" si="1"/>
        <v/>
      </c>
      <c r="N81" s="79"/>
      <c r="O81" s="80" t="b">
        <v>0</v>
      </c>
      <c r="P81" s="81" t="b">
        <v>0</v>
      </c>
      <c r="Q81" s="82" t="b">
        <v>0</v>
      </c>
    </row>
    <row r="82" ht="22.5" customHeight="1">
      <c r="A82" s="40" t="b">
        <v>0</v>
      </c>
      <c r="B82" s="40" t="b">
        <v>0</v>
      </c>
      <c r="C82" s="32"/>
      <c r="D82" s="32"/>
      <c r="E82" s="77"/>
      <c r="F82" s="90"/>
      <c r="G82" s="40" t="b">
        <v>0</v>
      </c>
      <c r="H82" s="41"/>
      <c r="I82" s="40" t="b">
        <v>0</v>
      </c>
      <c r="J82" s="32"/>
      <c r="K82" s="91"/>
      <c r="L82" s="92"/>
      <c r="M82" s="91" t="str">
        <f t="shared" si="1"/>
        <v/>
      </c>
      <c r="N82" s="79"/>
      <c r="O82" s="80" t="b">
        <v>0</v>
      </c>
      <c r="P82" s="81" t="b">
        <v>0</v>
      </c>
      <c r="Q82" s="82" t="b">
        <v>0</v>
      </c>
    </row>
    <row r="83" ht="22.5" customHeight="1">
      <c r="A83" s="40" t="b">
        <v>0</v>
      </c>
      <c r="B83" s="40" t="b">
        <v>0</v>
      </c>
      <c r="C83" s="32"/>
      <c r="D83" s="32"/>
      <c r="E83" s="77"/>
      <c r="F83" s="90"/>
      <c r="G83" s="40" t="b">
        <v>0</v>
      </c>
      <c r="H83" s="41"/>
      <c r="I83" s="40" t="b">
        <v>0</v>
      </c>
      <c r="J83" s="32"/>
      <c r="K83" s="91"/>
      <c r="L83" s="92"/>
      <c r="M83" s="91" t="str">
        <f t="shared" si="1"/>
        <v/>
      </c>
      <c r="N83" s="79"/>
      <c r="O83" s="80" t="b">
        <v>0</v>
      </c>
      <c r="P83" s="81" t="b">
        <v>0</v>
      </c>
      <c r="Q83" s="82" t="b">
        <v>0</v>
      </c>
    </row>
    <row r="84" ht="22.5" customHeight="1">
      <c r="A84" s="40" t="b">
        <v>0</v>
      </c>
      <c r="B84" s="40" t="b">
        <v>0</v>
      </c>
      <c r="C84" s="32"/>
      <c r="D84" s="32"/>
      <c r="E84" s="77"/>
      <c r="F84" s="90"/>
      <c r="G84" s="40" t="b">
        <v>0</v>
      </c>
      <c r="H84" s="41"/>
      <c r="I84" s="40" t="b">
        <v>0</v>
      </c>
      <c r="J84" s="32"/>
      <c r="K84" s="91"/>
      <c r="L84" s="92"/>
      <c r="M84" s="91" t="str">
        <f t="shared" si="1"/>
        <v/>
      </c>
      <c r="N84" s="79"/>
      <c r="O84" s="80" t="b">
        <v>0</v>
      </c>
      <c r="P84" s="81" t="b">
        <v>0</v>
      </c>
      <c r="Q84" s="82" t="b">
        <v>0</v>
      </c>
    </row>
    <row r="85" ht="22.5" customHeight="1">
      <c r="A85" s="40" t="b">
        <v>0</v>
      </c>
      <c r="B85" s="40" t="b">
        <v>0</v>
      </c>
      <c r="C85" s="32"/>
      <c r="D85" s="32"/>
      <c r="E85" s="77"/>
      <c r="F85" s="90"/>
      <c r="G85" s="40" t="b">
        <v>0</v>
      </c>
      <c r="H85" s="41"/>
      <c r="I85" s="40" t="b">
        <v>0</v>
      </c>
      <c r="J85" s="32"/>
      <c r="K85" s="91"/>
      <c r="L85" s="92"/>
      <c r="M85" s="91" t="str">
        <f t="shared" si="1"/>
        <v/>
      </c>
      <c r="N85" s="79"/>
      <c r="O85" s="80" t="b">
        <v>0</v>
      </c>
      <c r="P85" s="81" t="b">
        <v>0</v>
      </c>
      <c r="Q85" s="82" t="b">
        <v>0</v>
      </c>
    </row>
    <row r="86" ht="22.5" customHeight="1">
      <c r="A86" s="40" t="b">
        <v>0</v>
      </c>
      <c r="B86" s="40" t="b">
        <v>0</v>
      </c>
      <c r="C86" s="32"/>
      <c r="D86" s="32"/>
      <c r="E86" s="77"/>
      <c r="F86" s="90"/>
      <c r="G86" s="40" t="b">
        <v>0</v>
      </c>
      <c r="H86" s="41"/>
      <c r="I86" s="40" t="b">
        <v>0</v>
      </c>
      <c r="J86" s="32"/>
      <c r="K86" s="91"/>
      <c r="L86" s="92"/>
      <c r="M86" s="91" t="str">
        <f t="shared" si="1"/>
        <v/>
      </c>
      <c r="N86" s="79"/>
      <c r="O86" s="80" t="b">
        <v>0</v>
      </c>
      <c r="P86" s="81" t="b">
        <v>0</v>
      </c>
      <c r="Q86" s="82" t="b">
        <v>0</v>
      </c>
    </row>
    <row r="87" ht="22.5" customHeight="1">
      <c r="A87" s="40" t="b">
        <v>0</v>
      </c>
      <c r="B87" s="40" t="b">
        <v>0</v>
      </c>
      <c r="C87" s="32"/>
      <c r="D87" s="32"/>
      <c r="E87" s="77"/>
      <c r="F87" s="90"/>
      <c r="G87" s="40" t="b">
        <v>0</v>
      </c>
      <c r="H87" s="41"/>
      <c r="I87" s="40" t="b">
        <v>0</v>
      </c>
      <c r="J87" s="32"/>
      <c r="K87" s="91"/>
      <c r="L87" s="92"/>
      <c r="M87" s="91" t="str">
        <f t="shared" si="1"/>
        <v/>
      </c>
      <c r="N87" s="79"/>
      <c r="O87" s="80" t="b">
        <v>0</v>
      </c>
      <c r="P87" s="81" t="b">
        <v>0</v>
      </c>
      <c r="Q87" s="82" t="b">
        <v>0</v>
      </c>
    </row>
    <row r="88" ht="22.5" customHeight="1">
      <c r="A88" s="40" t="b">
        <v>0</v>
      </c>
      <c r="B88" s="40" t="b">
        <v>0</v>
      </c>
      <c r="C88" s="32"/>
      <c r="D88" s="32"/>
      <c r="E88" s="77"/>
      <c r="F88" s="90"/>
      <c r="G88" s="40" t="b">
        <v>0</v>
      </c>
      <c r="H88" s="41"/>
      <c r="I88" s="40" t="b">
        <v>0</v>
      </c>
      <c r="J88" s="32"/>
      <c r="K88" s="91"/>
      <c r="L88" s="92"/>
      <c r="M88" s="91" t="str">
        <f t="shared" si="1"/>
        <v/>
      </c>
      <c r="N88" s="79"/>
      <c r="O88" s="80" t="b">
        <v>0</v>
      </c>
      <c r="P88" s="81" t="b">
        <v>0</v>
      </c>
      <c r="Q88" s="82" t="b">
        <v>0</v>
      </c>
    </row>
    <row r="89" ht="22.5" customHeight="1">
      <c r="A89" s="40" t="b">
        <v>0</v>
      </c>
      <c r="B89" s="40" t="b">
        <v>0</v>
      </c>
      <c r="C89" s="32"/>
      <c r="D89" s="32"/>
      <c r="E89" s="77"/>
      <c r="F89" s="90"/>
      <c r="G89" s="40" t="b">
        <v>0</v>
      </c>
      <c r="H89" s="41"/>
      <c r="I89" s="40" t="b">
        <v>0</v>
      </c>
      <c r="J89" s="32"/>
      <c r="K89" s="91"/>
      <c r="L89" s="92"/>
      <c r="M89" s="91" t="str">
        <f t="shared" si="1"/>
        <v/>
      </c>
      <c r="N89" s="79"/>
      <c r="O89" s="80" t="b">
        <v>0</v>
      </c>
      <c r="P89" s="81" t="b">
        <v>0</v>
      </c>
      <c r="Q89" s="82" t="b">
        <v>0</v>
      </c>
    </row>
    <row r="90" ht="22.5" customHeight="1">
      <c r="A90" s="40" t="b">
        <v>0</v>
      </c>
      <c r="B90" s="40" t="b">
        <v>0</v>
      </c>
      <c r="C90" s="32"/>
      <c r="D90" s="32"/>
      <c r="E90" s="77"/>
      <c r="F90" s="90"/>
      <c r="G90" s="40" t="b">
        <v>0</v>
      </c>
      <c r="H90" s="41"/>
      <c r="I90" s="40" t="b">
        <v>0</v>
      </c>
      <c r="J90" s="32"/>
      <c r="K90" s="91"/>
      <c r="L90" s="92"/>
      <c r="M90" s="91" t="str">
        <f t="shared" si="1"/>
        <v/>
      </c>
      <c r="N90" s="79"/>
      <c r="O90" s="80" t="b">
        <v>0</v>
      </c>
      <c r="P90" s="81" t="b">
        <v>0</v>
      </c>
      <c r="Q90" s="82" t="b">
        <v>0</v>
      </c>
    </row>
    <row r="91" ht="22.5" customHeight="1">
      <c r="A91" s="40" t="b">
        <v>0</v>
      </c>
      <c r="B91" s="40" t="b">
        <v>0</v>
      </c>
      <c r="C91" s="32"/>
      <c r="D91" s="32"/>
      <c r="E91" s="77"/>
      <c r="F91" s="90"/>
      <c r="G91" s="40" t="b">
        <v>0</v>
      </c>
      <c r="H91" s="41"/>
      <c r="I91" s="40" t="b">
        <v>0</v>
      </c>
      <c r="J91" s="32"/>
      <c r="K91" s="91"/>
      <c r="L91" s="92"/>
      <c r="M91" s="91" t="str">
        <f t="shared" si="1"/>
        <v/>
      </c>
      <c r="N91" s="79"/>
      <c r="O91" s="80" t="b">
        <v>0</v>
      </c>
      <c r="P91" s="81" t="b">
        <v>0</v>
      </c>
      <c r="Q91" s="82" t="b">
        <v>0</v>
      </c>
    </row>
    <row r="92" ht="22.5" customHeight="1">
      <c r="A92" s="40" t="b">
        <v>0</v>
      </c>
      <c r="B92" s="40" t="b">
        <v>0</v>
      </c>
      <c r="C92" s="32"/>
      <c r="D92" s="32"/>
      <c r="E92" s="77"/>
      <c r="F92" s="90"/>
      <c r="G92" s="40" t="b">
        <v>0</v>
      </c>
      <c r="H92" s="41"/>
      <c r="I92" s="40" t="b">
        <v>0</v>
      </c>
      <c r="J92" s="32"/>
      <c r="K92" s="91"/>
      <c r="L92" s="92"/>
      <c r="M92" s="91" t="str">
        <f t="shared" si="1"/>
        <v/>
      </c>
      <c r="N92" s="79"/>
      <c r="O92" s="80" t="b">
        <v>0</v>
      </c>
      <c r="P92" s="81" t="b">
        <v>0</v>
      </c>
      <c r="Q92" s="82" t="b">
        <v>0</v>
      </c>
    </row>
    <row r="93" ht="22.5" customHeight="1">
      <c r="A93" s="40" t="b">
        <v>0</v>
      </c>
      <c r="B93" s="40" t="b">
        <v>0</v>
      </c>
      <c r="C93" s="32"/>
      <c r="D93" s="32"/>
      <c r="E93" s="77"/>
      <c r="F93" s="90"/>
      <c r="G93" s="40" t="b">
        <v>0</v>
      </c>
      <c r="H93" s="41"/>
      <c r="I93" s="40" t="b">
        <v>0</v>
      </c>
      <c r="J93" s="32"/>
      <c r="K93" s="91"/>
      <c r="L93" s="92"/>
      <c r="M93" s="91" t="str">
        <f t="shared" si="1"/>
        <v/>
      </c>
      <c r="N93" s="79"/>
      <c r="O93" s="80" t="b">
        <v>0</v>
      </c>
      <c r="P93" s="81" t="b">
        <v>0</v>
      </c>
      <c r="Q93" s="82" t="b">
        <v>0</v>
      </c>
    </row>
    <row r="94" ht="22.5" customHeight="1">
      <c r="A94" s="40" t="b">
        <v>0</v>
      </c>
      <c r="B94" s="40" t="b">
        <v>0</v>
      </c>
      <c r="C94" s="32"/>
      <c r="D94" s="32"/>
      <c r="E94" s="77"/>
      <c r="F94" s="90"/>
      <c r="G94" s="40" t="b">
        <v>0</v>
      </c>
      <c r="H94" s="41"/>
      <c r="I94" s="40" t="b">
        <v>0</v>
      </c>
      <c r="J94" s="32"/>
      <c r="K94" s="91"/>
      <c r="L94" s="92"/>
      <c r="M94" s="91" t="str">
        <f t="shared" si="1"/>
        <v/>
      </c>
      <c r="N94" s="79"/>
      <c r="O94" s="80" t="b">
        <v>0</v>
      </c>
      <c r="P94" s="81" t="b">
        <v>0</v>
      </c>
      <c r="Q94" s="82" t="b">
        <v>0</v>
      </c>
    </row>
    <row r="95" ht="22.5" customHeight="1">
      <c r="A95" s="40" t="b">
        <v>0</v>
      </c>
      <c r="B95" s="40" t="b">
        <v>0</v>
      </c>
      <c r="C95" s="32"/>
      <c r="D95" s="32"/>
      <c r="E95" s="77"/>
      <c r="F95" s="90"/>
      <c r="G95" s="40" t="b">
        <v>0</v>
      </c>
      <c r="H95" s="41"/>
      <c r="I95" s="40" t="b">
        <v>0</v>
      </c>
      <c r="J95" s="32"/>
      <c r="K95" s="91"/>
      <c r="L95" s="92"/>
      <c r="M95" s="91" t="str">
        <f t="shared" si="1"/>
        <v/>
      </c>
      <c r="N95" s="79"/>
      <c r="O95" s="80" t="b">
        <v>0</v>
      </c>
      <c r="P95" s="81" t="b">
        <v>0</v>
      </c>
      <c r="Q95" s="82" t="b">
        <v>0</v>
      </c>
    </row>
    <row r="96" ht="22.5" customHeight="1">
      <c r="A96" s="40" t="b">
        <v>0</v>
      </c>
      <c r="B96" s="40" t="b">
        <v>0</v>
      </c>
      <c r="C96" s="32"/>
      <c r="D96" s="32"/>
      <c r="E96" s="77"/>
      <c r="F96" s="90"/>
      <c r="G96" s="40" t="b">
        <v>0</v>
      </c>
      <c r="H96" s="41"/>
      <c r="I96" s="40" t="b">
        <v>0</v>
      </c>
      <c r="J96" s="32"/>
      <c r="K96" s="91"/>
      <c r="L96" s="92"/>
      <c r="M96" s="91" t="str">
        <f t="shared" si="1"/>
        <v/>
      </c>
      <c r="N96" s="79"/>
      <c r="O96" s="80" t="b">
        <v>0</v>
      </c>
      <c r="P96" s="81" t="b">
        <v>0</v>
      </c>
      <c r="Q96" s="82" t="b">
        <v>0</v>
      </c>
    </row>
    <row r="97" ht="22.5" customHeight="1">
      <c r="A97" s="40" t="b">
        <v>0</v>
      </c>
      <c r="B97" s="40" t="b">
        <v>0</v>
      </c>
      <c r="C97" s="32"/>
      <c r="D97" s="32"/>
      <c r="E97" s="77"/>
      <c r="F97" s="90"/>
      <c r="G97" s="40" t="b">
        <v>0</v>
      </c>
      <c r="H97" s="41"/>
      <c r="I97" s="40" t="b">
        <v>0</v>
      </c>
      <c r="J97" s="32"/>
      <c r="K97" s="91"/>
      <c r="L97" s="92"/>
      <c r="M97" s="91" t="str">
        <f t="shared" si="1"/>
        <v/>
      </c>
      <c r="N97" s="79"/>
      <c r="O97" s="80" t="b">
        <v>0</v>
      </c>
      <c r="P97" s="81" t="b">
        <v>0</v>
      </c>
      <c r="Q97" s="82" t="b">
        <v>0</v>
      </c>
    </row>
    <row r="98" ht="22.5" customHeight="1">
      <c r="A98" s="40" t="b">
        <v>0</v>
      </c>
      <c r="B98" s="40" t="b">
        <v>0</v>
      </c>
      <c r="C98" s="32"/>
      <c r="D98" s="32"/>
      <c r="E98" s="77"/>
      <c r="F98" s="90"/>
      <c r="G98" s="40" t="b">
        <v>0</v>
      </c>
      <c r="H98" s="41"/>
      <c r="I98" s="40" t="b">
        <v>0</v>
      </c>
      <c r="J98" s="32"/>
      <c r="K98" s="91"/>
      <c r="L98" s="92"/>
      <c r="M98" s="91" t="str">
        <f t="shared" si="1"/>
        <v/>
      </c>
      <c r="N98" s="79"/>
      <c r="O98" s="80" t="b">
        <v>0</v>
      </c>
      <c r="P98" s="81" t="b">
        <v>0</v>
      </c>
      <c r="Q98" s="82" t="b">
        <v>0</v>
      </c>
    </row>
    <row r="99" ht="22.5" customHeight="1">
      <c r="A99" s="40" t="b">
        <v>0</v>
      </c>
      <c r="B99" s="40" t="b">
        <v>0</v>
      </c>
      <c r="C99" s="32"/>
      <c r="D99" s="32"/>
      <c r="E99" s="77"/>
      <c r="F99" s="90"/>
      <c r="G99" s="40" t="b">
        <v>0</v>
      </c>
      <c r="H99" s="41"/>
      <c r="I99" s="40" t="b">
        <v>0</v>
      </c>
      <c r="J99" s="32"/>
      <c r="K99" s="91"/>
      <c r="L99" s="92"/>
      <c r="M99" s="91" t="str">
        <f t="shared" si="1"/>
        <v/>
      </c>
      <c r="N99" s="79"/>
      <c r="O99" s="80" t="b">
        <v>0</v>
      </c>
      <c r="P99" s="81" t="b">
        <v>0</v>
      </c>
      <c r="Q99" s="82" t="b">
        <v>0</v>
      </c>
    </row>
    <row r="100">
      <c r="M100" s="93"/>
    </row>
    <row r="101">
      <c r="M101" s="93"/>
    </row>
    <row r="102">
      <c r="M102" s="93"/>
    </row>
    <row r="103">
      <c r="M103" s="93"/>
    </row>
    <row r="104">
      <c r="M104" s="93"/>
    </row>
    <row r="105">
      <c r="M105" s="93"/>
    </row>
    <row r="106">
      <c r="M106" s="93"/>
    </row>
    <row r="107">
      <c r="M107" s="93"/>
    </row>
    <row r="108">
      <c r="M108" s="93"/>
    </row>
    <row r="109">
      <c r="M109" s="93"/>
    </row>
    <row r="110">
      <c r="M110" s="93"/>
    </row>
    <row r="111">
      <c r="M111" s="93"/>
    </row>
    <row r="112">
      <c r="M112" s="93"/>
    </row>
    <row r="113">
      <c r="M113" s="93"/>
    </row>
    <row r="114">
      <c r="M114" s="93"/>
    </row>
    <row r="115">
      <c r="M115" s="93"/>
    </row>
    <row r="116">
      <c r="M116" s="93"/>
    </row>
    <row r="117">
      <c r="M117" s="93"/>
    </row>
    <row r="118">
      <c r="M118" s="93"/>
    </row>
    <row r="119">
      <c r="M119" s="93"/>
    </row>
    <row r="120">
      <c r="M120" s="93"/>
    </row>
    <row r="121">
      <c r="M121" s="93"/>
    </row>
    <row r="122">
      <c r="M122" s="93"/>
    </row>
    <row r="123">
      <c r="M123" s="93"/>
    </row>
    <row r="124">
      <c r="M124" s="93"/>
    </row>
    <row r="125">
      <c r="M125" s="93"/>
    </row>
    <row r="126">
      <c r="M126" s="93"/>
    </row>
    <row r="127">
      <c r="M127" s="93"/>
    </row>
    <row r="128">
      <c r="M128" s="93"/>
    </row>
    <row r="129">
      <c r="M129" s="93"/>
    </row>
    <row r="130">
      <c r="M130" s="93"/>
    </row>
    <row r="131">
      <c r="M131" s="93"/>
    </row>
    <row r="132">
      <c r="M132" s="93"/>
    </row>
    <row r="133">
      <c r="M133" s="93"/>
    </row>
    <row r="134">
      <c r="M134" s="93"/>
    </row>
    <row r="135">
      <c r="M135" s="93"/>
    </row>
    <row r="136">
      <c r="M136" s="93"/>
    </row>
    <row r="137">
      <c r="M137" s="93"/>
    </row>
    <row r="138">
      <c r="M138" s="93"/>
    </row>
    <row r="139">
      <c r="M139" s="93"/>
    </row>
    <row r="140">
      <c r="M140" s="93"/>
    </row>
    <row r="141">
      <c r="M141" s="93"/>
    </row>
    <row r="142">
      <c r="M142" s="93"/>
    </row>
    <row r="143">
      <c r="M143" s="93"/>
    </row>
    <row r="144">
      <c r="M144" s="93"/>
    </row>
    <row r="145">
      <c r="M145" s="93"/>
    </row>
    <row r="146">
      <c r="M146" s="93"/>
    </row>
    <row r="147">
      <c r="M147" s="93"/>
    </row>
    <row r="148">
      <c r="M148" s="93"/>
    </row>
    <row r="149">
      <c r="M149" s="93"/>
    </row>
    <row r="150">
      <c r="M150" s="93"/>
    </row>
    <row r="151">
      <c r="M151" s="93"/>
    </row>
    <row r="152">
      <c r="M152" s="93"/>
    </row>
    <row r="153">
      <c r="M153" s="93"/>
    </row>
    <row r="154">
      <c r="M154" s="93"/>
    </row>
    <row r="155">
      <c r="M155" s="93"/>
    </row>
    <row r="156">
      <c r="M156" s="93"/>
    </row>
    <row r="157">
      <c r="M157" s="93"/>
    </row>
    <row r="158">
      <c r="M158" s="93"/>
    </row>
    <row r="159">
      <c r="M159" s="93"/>
    </row>
    <row r="160">
      <c r="M160" s="93"/>
    </row>
    <row r="161">
      <c r="M161" s="93"/>
    </row>
    <row r="162">
      <c r="M162" s="93"/>
    </row>
    <row r="163">
      <c r="M163" s="93"/>
    </row>
    <row r="164">
      <c r="M164" s="93"/>
    </row>
    <row r="165">
      <c r="M165" s="93"/>
    </row>
    <row r="166">
      <c r="M166" s="93"/>
    </row>
    <row r="167">
      <c r="M167" s="93"/>
    </row>
    <row r="168">
      <c r="M168" s="93"/>
    </row>
    <row r="169">
      <c r="M169" s="93"/>
    </row>
    <row r="170">
      <c r="M170" s="93"/>
    </row>
    <row r="171">
      <c r="M171" s="93"/>
    </row>
    <row r="172">
      <c r="M172" s="93"/>
    </row>
    <row r="173">
      <c r="M173" s="93"/>
    </row>
    <row r="174">
      <c r="M174" s="93"/>
    </row>
    <row r="175">
      <c r="M175" s="93"/>
    </row>
    <row r="176">
      <c r="M176" s="93"/>
    </row>
    <row r="177">
      <c r="M177" s="93"/>
    </row>
    <row r="178">
      <c r="M178" s="93"/>
    </row>
    <row r="179">
      <c r="M179" s="93"/>
    </row>
    <row r="180">
      <c r="M180" s="93"/>
    </row>
    <row r="181">
      <c r="M181" s="93"/>
    </row>
    <row r="182">
      <c r="M182" s="93"/>
    </row>
    <row r="183">
      <c r="M183" s="93"/>
    </row>
    <row r="184">
      <c r="M184" s="93"/>
    </row>
    <row r="185">
      <c r="M185" s="93"/>
    </row>
    <row r="186">
      <c r="M186" s="93"/>
    </row>
    <row r="187">
      <c r="M187" s="93"/>
    </row>
    <row r="188">
      <c r="M188" s="93"/>
    </row>
    <row r="189">
      <c r="M189" s="93"/>
    </row>
    <row r="190">
      <c r="M190" s="93"/>
    </row>
    <row r="191">
      <c r="M191" s="93"/>
    </row>
    <row r="192">
      <c r="M192" s="93"/>
    </row>
    <row r="193">
      <c r="M193" s="93"/>
    </row>
    <row r="194">
      <c r="M194" s="93"/>
    </row>
    <row r="195">
      <c r="M195" s="93"/>
    </row>
    <row r="196">
      <c r="M196" s="93"/>
    </row>
    <row r="197">
      <c r="M197" s="93"/>
    </row>
    <row r="198">
      <c r="M198" s="93"/>
    </row>
    <row r="199">
      <c r="M199" s="93"/>
    </row>
    <row r="200">
      <c r="M200" s="93"/>
    </row>
    <row r="201">
      <c r="M201" s="93"/>
    </row>
    <row r="202">
      <c r="M202" s="93"/>
    </row>
    <row r="203">
      <c r="M203" s="93"/>
    </row>
    <row r="204">
      <c r="M204" s="93"/>
    </row>
    <row r="205">
      <c r="M205" s="93"/>
    </row>
    <row r="206">
      <c r="M206" s="93"/>
    </row>
    <row r="207">
      <c r="M207" s="93"/>
    </row>
    <row r="208">
      <c r="M208" s="93"/>
    </row>
    <row r="209">
      <c r="M209" s="93"/>
    </row>
    <row r="210">
      <c r="M210" s="93"/>
    </row>
    <row r="211">
      <c r="M211" s="93"/>
    </row>
    <row r="212">
      <c r="M212" s="93"/>
    </row>
    <row r="213">
      <c r="M213" s="93"/>
    </row>
    <row r="214">
      <c r="M214" s="93"/>
    </row>
    <row r="215">
      <c r="M215" s="93"/>
    </row>
    <row r="216">
      <c r="M216" s="93"/>
    </row>
    <row r="217">
      <c r="M217" s="93"/>
    </row>
    <row r="218">
      <c r="M218" s="93"/>
    </row>
    <row r="219">
      <c r="M219" s="93"/>
    </row>
    <row r="220">
      <c r="M220" s="93"/>
    </row>
    <row r="221">
      <c r="M221" s="93"/>
    </row>
    <row r="222">
      <c r="M222" s="93"/>
    </row>
    <row r="223">
      <c r="M223" s="93"/>
    </row>
    <row r="224">
      <c r="M224" s="93"/>
    </row>
    <row r="225">
      <c r="M225" s="93"/>
    </row>
    <row r="226">
      <c r="M226" s="93"/>
    </row>
    <row r="227">
      <c r="M227" s="93"/>
    </row>
    <row r="228">
      <c r="M228" s="93"/>
    </row>
    <row r="229">
      <c r="M229" s="93"/>
    </row>
    <row r="230">
      <c r="M230" s="93"/>
    </row>
    <row r="231">
      <c r="M231" s="93"/>
    </row>
    <row r="232">
      <c r="M232" s="93"/>
    </row>
    <row r="233">
      <c r="M233" s="93"/>
    </row>
    <row r="234">
      <c r="M234" s="93"/>
    </row>
    <row r="235">
      <c r="M235" s="93"/>
    </row>
    <row r="236">
      <c r="M236" s="93"/>
    </row>
    <row r="237">
      <c r="M237" s="93"/>
    </row>
    <row r="238">
      <c r="M238" s="93"/>
    </row>
    <row r="239">
      <c r="M239" s="93"/>
    </row>
    <row r="240">
      <c r="M240" s="93"/>
    </row>
    <row r="241">
      <c r="M241" s="93"/>
    </row>
    <row r="242">
      <c r="M242" s="93"/>
    </row>
    <row r="243">
      <c r="M243" s="93"/>
    </row>
    <row r="244">
      <c r="M244" s="93"/>
    </row>
    <row r="245">
      <c r="M245" s="93"/>
    </row>
    <row r="246">
      <c r="M246" s="93"/>
    </row>
    <row r="247">
      <c r="M247" s="93"/>
    </row>
    <row r="248">
      <c r="M248" s="93"/>
    </row>
    <row r="249">
      <c r="M249" s="93"/>
    </row>
    <row r="250">
      <c r="M250" s="93"/>
    </row>
    <row r="251">
      <c r="M251" s="93"/>
    </row>
    <row r="252">
      <c r="M252" s="93"/>
    </row>
    <row r="253">
      <c r="M253" s="93"/>
    </row>
    <row r="254">
      <c r="M254" s="93"/>
    </row>
    <row r="255">
      <c r="M255" s="93"/>
    </row>
    <row r="256">
      <c r="M256" s="93"/>
    </row>
    <row r="257">
      <c r="M257" s="93"/>
    </row>
    <row r="258">
      <c r="M258" s="93"/>
    </row>
    <row r="259">
      <c r="M259" s="93"/>
    </row>
    <row r="260">
      <c r="M260" s="93"/>
    </row>
    <row r="261">
      <c r="M261" s="93"/>
    </row>
    <row r="262">
      <c r="M262" s="93"/>
    </row>
    <row r="263">
      <c r="M263" s="93"/>
    </row>
    <row r="264">
      <c r="M264" s="93"/>
    </row>
    <row r="265">
      <c r="M265" s="93"/>
    </row>
    <row r="266">
      <c r="M266" s="93"/>
    </row>
    <row r="267">
      <c r="M267" s="93"/>
    </row>
    <row r="268">
      <c r="M268" s="93"/>
    </row>
    <row r="269">
      <c r="M269" s="93"/>
    </row>
    <row r="270">
      <c r="M270" s="93"/>
    </row>
    <row r="271">
      <c r="M271" s="93"/>
    </row>
    <row r="272">
      <c r="M272" s="93"/>
    </row>
    <row r="273">
      <c r="M273" s="93"/>
    </row>
    <row r="274">
      <c r="M274" s="93"/>
    </row>
    <row r="275">
      <c r="M275" s="93"/>
    </row>
    <row r="276">
      <c r="M276" s="93"/>
    </row>
    <row r="277">
      <c r="M277" s="93"/>
    </row>
    <row r="278">
      <c r="M278" s="93"/>
    </row>
    <row r="279">
      <c r="M279" s="93"/>
    </row>
    <row r="280">
      <c r="M280" s="93"/>
    </row>
    <row r="281">
      <c r="M281" s="93"/>
    </row>
    <row r="282">
      <c r="M282" s="93"/>
    </row>
    <row r="283">
      <c r="M283" s="93"/>
    </row>
    <row r="284">
      <c r="M284" s="93"/>
    </row>
    <row r="285">
      <c r="M285" s="93"/>
    </row>
    <row r="286">
      <c r="M286" s="93"/>
    </row>
    <row r="287">
      <c r="M287" s="93"/>
    </row>
    <row r="288">
      <c r="M288" s="93"/>
    </row>
    <row r="289">
      <c r="M289" s="93"/>
    </row>
    <row r="290">
      <c r="M290" s="93"/>
    </row>
    <row r="291">
      <c r="M291" s="93"/>
    </row>
    <row r="292">
      <c r="M292" s="93"/>
    </row>
    <row r="293">
      <c r="M293" s="93"/>
    </row>
    <row r="294">
      <c r="M294" s="93"/>
    </row>
    <row r="295">
      <c r="M295" s="93"/>
    </row>
    <row r="296">
      <c r="M296" s="93"/>
    </row>
    <row r="297">
      <c r="M297" s="93"/>
    </row>
    <row r="298">
      <c r="M298" s="93"/>
    </row>
    <row r="299">
      <c r="M299" s="93"/>
    </row>
    <row r="300">
      <c r="M300" s="93"/>
    </row>
    <row r="301">
      <c r="M301" s="93"/>
    </row>
    <row r="302">
      <c r="M302" s="93"/>
    </row>
    <row r="303">
      <c r="M303" s="93"/>
    </row>
    <row r="304">
      <c r="M304" s="93"/>
    </row>
    <row r="305">
      <c r="M305" s="93"/>
    </row>
    <row r="306">
      <c r="M306" s="93"/>
    </row>
    <row r="307">
      <c r="M307" s="93"/>
    </row>
    <row r="308">
      <c r="M308" s="93"/>
    </row>
    <row r="309">
      <c r="M309" s="93"/>
    </row>
    <row r="310">
      <c r="M310" s="93"/>
    </row>
    <row r="311">
      <c r="M311" s="93"/>
    </row>
    <row r="312">
      <c r="M312" s="93"/>
    </row>
    <row r="313">
      <c r="M313" s="93"/>
    </row>
    <row r="314">
      <c r="M314" s="93"/>
    </row>
    <row r="315">
      <c r="M315" s="93"/>
    </row>
    <row r="316">
      <c r="M316" s="93"/>
    </row>
    <row r="317">
      <c r="M317" s="93"/>
    </row>
    <row r="318">
      <c r="M318" s="93"/>
    </row>
    <row r="319">
      <c r="M319" s="93"/>
    </row>
    <row r="320">
      <c r="M320" s="93"/>
    </row>
    <row r="321">
      <c r="M321" s="93"/>
    </row>
    <row r="322">
      <c r="M322" s="93"/>
    </row>
    <row r="323">
      <c r="M323" s="93"/>
    </row>
    <row r="324">
      <c r="M324" s="93"/>
    </row>
    <row r="325">
      <c r="M325" s="93"/>
    </row>
    <row r="326">
      <c r="M326" s="93"/>
    </row>
    <row r="327">
      <c r="M327" s="93"/>
    </row>
    <row r="328">
      <c r="M328" s="93"/>
    </row>
    <row r="329">
      <c r="M329" s="93"/>
    </row>
    <row r="330">
      <c r="M330" s="93"/>
    </row>
    <row r="331">
      <c r="M331" s="93"/>
    </row>
    <row r="332">
      <c r="M332" s="93"/>
    </row>
    <row r="333">
      <c r="M333" s="93"/>
    </row>
    <row r="334">
      <c r="M334" s="93"/>
    </row>
    <row r="335">
      <c r="M335" s="93"/>
    </row>
    <row r="336">
      <c r="M336" s="93"/>
    </row>
    <row r="337">
      <c r="M337" s="93"/>
    </row>
    <row r="338">
      <c r="M338" s="93"/>
    </row>
    <row r="339">
      <c r="M339" s="93"/>
    </row>
    <row r="340">
      <c r="M340" s="93"/>
    </row>
    <row r="341">
      <c r="M341" s="93"/>
    </row>
    <row r="342">
      <c r="M342" s="93"/>
    </row>
    <row r="343">
      <c r="M343" s="93"/>
    </row>
    <row r="344">
      <c r="M344" s="93"/>
    </row>
    <row r="345">
      <c r="M345" s="93"/>
    </row>
    <row r="346">
      <c r="M346" s="93"/>
    </row>
    <row r="347">
      <c r="M347" s="93"/>
    </row>
    <row r="348">
      <c r="M348" s="93"/>
    </row>
    <row r="349">
      <c r="M349" s="93"/>
    </row>
    <row r="350">
      <c r="M350" s="93"/>
    </row>
    <row r="351">
      <c r="M351" s="93"/>
    </row>
    <row r="352">
      <c r="M352" s="93"/>
    </row>
    <row r="353">
      <c r="M353" s="93"/>
    </row>
    <row r="354">
      <c r="M354" s="93"/>
    </row>
    <row r="355">
      <c r="M355" s="93"/>
    </row>
    <row r="356">
      <c r="M356" s="93"/>
    </row>
    <row r="357">
      <c r="M357" s="93"/>
    </row>
    <row r="358">
      <c r="M358" s="93"/>
    </row>
    <row r="359">
      <c r="M359" s="93"/>
    </row>
    <row r="360">
      <c r="M360" s="93"/>
    </row>
    <row r="361">
      <c r="M361" s="93"/>
    </row>
    <row r="362">
      <c r="M362" s="93"/>
    </row>
    <row r="363">
      <c r="M363" s="93"/>
    </row>
    <row r="364">
      <c r="M364" s="93"/>
    </row>
    <row r="365">
      <c r="M365" s="93"/>
    </row>
    <row r="366">
      <c r="M366" s="93"/>
    </row>
    <row r="367">
      <c r="M367" s="93"/>
    </row>
    <row r="368">
      <c r="M368" s="93"/>
    </row>
    <row r="369">
      <c r="M369" s="93"/>
    </row>
    <row r="370">
      <c r="M370" s="93"/>
    </row>
    <row r="371">
      <c r="M371" s="93"/>
    </row>
    <row r="372">
      <c r="M372" s="93"/>
    </row>
    <row r="373">
      <c r="M373" s="93"/>
    </row>
    <row r="374">
      <c r="M374" s="93"/>
    </row>
    <row r="375">
      <c r="M375" s="93"/>
    </row>
    <row r="376">
      <c r="M376" s="93"/>
    </row>
    <row r="377">
      <c r="M377" s="93"/>
    </row>
    <row r="378">
      <c r="M378" s="93"/>
    </row>
    <row r="379">
      <c r="M379" s="93"/>
    </row>
    <row r="380">
      <c r="M380" s="93"/>
    </row>
    <row r="381">
      <c r="M381" s="93"/>
    </row>
    <row r="382">
      <c r="M382" s="93"/>
    </row>
    <row r="383">
      <c r="M383" s="93"/>
    </row>
    <row r="384">
      <c r="M384" s="93"/>
    </row>
    <row r="385">
      <c r="M385" s="93"/>
    </row>
    <row r="386">
      <c r="M386" s="93"/>
    </row>
    <row r="387">
      <c r="M387" s="93"/>
    </row>
    <row r="388">
      <c r="M388" s="93"/>
    </row>
    <row r="389">
      <c r="M389" s="93"/>
    </row>
    <row r="390">
      <c r="M390" s="93"/>
    </row>
    <row r="391">
      <c r="M391" s="93"/>
    </row>
    <row r="392">
      <c r="M392" s="93"/>
    </row>
    <row r="393">
      <c r="M393" s="93"/>
    </row>
    <row r="394">
      <c r="M394" s="93"/>
    </row>
    <row r="395">
      <c r="M395" s="93"/>
    </row>
    <row r="396">
      <c r="M396" s="93"/>
    </row>
    <row r="397">
      <c r="M397" s="93"/>
    </row>
    <row r="398">
      <c r="M398" s="93"/>
    </row>
    <row r="399">
      <c r="M399" s="93"/>
    </row>
    <row r="400">
      <c r="M400" s="93"/>
    </row>
    <row r="401">
      <c r="M401" s="93"/>
    </row>
    <row r="402">
      <c r="M402" s="93"/>
    </row>
    <row r="403">
      <c r="M403" s="93"/>
    </row>
    <row r="404">
      <c r="M404" s="93"/>
    </row>
    <row r="405">
      <c r="M405" s="93"/>
    </row>
    <row r="406">
      <c r="M406" s="93"/>
    </row>
    <row r="407">
      <c r="M407" s="93"/>
    </row>
    <row r="408">
      <c r="M408" s="93"/>
    </row>
    <row r="409">
      <c r="M409" s="93"/>
    </row>
    <row r="410">
      <c r="M410" s="93"/>
    </row>
    <row r="411">
      <c r="M411" s="93"/>
    </row>
    <row r="412">
      <c r="M412" s="93"/>
    </row>
    <row r="413">
      <c r="M413" s="93"/>
    </row>
    <row r="414">
      <c r="M414" s="93"/>
    </row>
    <row r="415">
      <c r="M415" s="93"/>
    </row>
    <row r="416">
      <c r="M416" s="93"/>
    </row>
    <row r="417">
      <c r="M417" s="93"/>
    </row>
    <row r="418">
      <c r="M418" s="93"/>
    </row>
    <row r="419">
      <c r="M419" s="93"/>
    </row>
    <row r="420">
      <c r="M420" s="93"/>
    </row>
    <row r="421">
      <c r="M421" s="93"/>
    </row>
    <row r="422">
      <c r="M422" s="93"/>
    </row>
    <row r="423">
      <c r="M423" s="93"/>
    </row>
    <row r="424">
      <c r="M424" s="93"/>
    </row>
    <row r="425">
      <c r="M425" s="93"/>
    </row>
    <row r="426">
      <c r="M426" s="93"/>
    </row>
    <row r="427">
      <c r="M427" s="93"/>
    </row>
    <row r="428">
      <c r="M428" s="93"/>
    </row>
    <row r="429">
      <c r="M429" s="93"/>
    </row>
    <row r="430">
      <c r="M430" s="93"/>
    </row>
    <row r="431">
      <c r="M431" s="93"/>
    </row>
    <row r="432">
      <c r="M432" s="93"/>
    </row>
    <row r="433">
      <c r="M433" s="93"/>
    </row>
    <row r="434">
      <c r="M434" s="93"/>
    </row>
    <row r="435">
      <c r="M435" s="93"/>
    </row>
    <row r="436">
      <c r="M436" s="93"/>
    </row>
    <row r="437">
      <c r="M437" s="93"/>
    </row>
    <row r="438">
      <c r="M438" s="93"/>
    </row>
    <row r="439">
      <c r="M439" s="93"/>
    </row>
    <row r="440">
      <c r="M440" s="93"/>
    </row>
    <row r="441">
      <c r="M441" s="93"/>
    </row>
    <row r="442">
      <c r="M442" s="93"/>
    </row>
    <row r="443">
      <c r="M443" s="93"/>
    </row>
    <row r="444">
      <c r="M444" s="93"/>
    </row>
    <row r="445">
      <c r="M445" s="93"/>
    </row>
    <row r="446">
      <c r="M446" s="93"/>
    </row>
    <row r="447">
      <c r="M447" s="93"/>
    </row>
    <row r="448">
      <c r="M448" s="93"/>
    </row>
    <row r="449">
      <c r="M449" s="93"/>
    </row>
    <row r="450">
      <c r="M450" s="93"/>
    </row>
    <row r="451">
      <c r="M451" s="93"/>
    </row>
    <row r="452">
      <c r="M452" s="93"/>
    </row>
    <row r="453">
      <c r="M453" s="93"/>
    </row>
    <row r="454">
      <c r="M454" s="93"/>
    </row>
    <row r="455">
      <c r="M455" s="93"/>
    </row>
    <row r="456">
      <c r="M456" s="93"/>
    </row>
    <row r="457">
      <c r="M457" s="93"/>
    </row>
    <row r="458">
      <c r="M458" s="93"/>
    </row>
    <row r="459">
      <c r="M459" s="93"/>
    </row>
    <row r="460">
      <c r="M460" s="93"/>
    </row>
    <row r="461">
      <c r="M461" s="93"/>
    </row>
    <row r="462">
      <c r="M462" s="93"/>
    </row>
    <row r="463">
      <c r="M463" s="93"/>
    </row>
    <row r="464">
      <c r="M464" s="93"/>
    </row>
    <row r="465">
      <c r="M465" s="93"/>
    </row>
    <row r="466">
      <c r="M466" s="93"/>
    </row>
    <row r="467">
      <c r="M467" s="93"/>
    </row>
    <row r="468">
      <c r="M468" s="93"/>
    </row>
    <row r="469">
      <c r="M469" s="93"/>
    </row>
    <row r="470">
      <c r="M470" s="93"/>
    </row>
    <row r="471">
      <c r="M471" s="93"/>
    </row>
    <row r="472">
      <c r="M472" s="93"/>
    </row>
    <row r="473">
      <c r="M473" s="93"/>
    </row>
    <row r="474">
      <c r="M474" s="93"/>
    </row>
    <row r="475">
      <c r="M475" s="93"/>
    </row>
    <row r="476">
      <c r="M476" s="93"/>
    </row>
    <row r="477">
      <c r="M477" s="93"/>
    </row>
    <row r="478">
      <c r="M478" s="93"/>
    </row>
    <row r="479">
      <c r="M479" s="93"/>
    </row>
    <row r="480">
      <c r="M480" s="93"/>
    </row>
    <row r="481">
      <c r="M481" s="93"/>
    </row>
    <row r="482">
      <c r="M482" s="93"/>
    </row>
    <row r="483">
      <c r="M483" s="93"/>
    </row>
    <row r="484">
      <c r="M484" s="93"/>
    </row>
    <row r="485">
      <c r="M485" s="93"/>
    </row>
    <row r="486">
      <c r="M486" s="93"/>
    </row>
    <row r="487">
      <c r="M487" s="93"/>
    </row>
    <row r="488">
      <c r="M488" s="93"/>
    </row>
    <row r="489">
      <c r="M489" s="93"/>
    </row>
    <row r="490">
      <c r="M490" s="93"/>
    </row>
    <row r="491">
      <c r="M491" s="93"/>
    </row>
    <row r="492">
      <c r="M492" s="93"/>
    </row>
    <row r="493">
      <c r="M493" s="93"/>
    </row>
    <row r="494">
      <c r="M494" s="93"/>
    </row>
    <row r="495">
      <c r="M495" s="93"/>
    </row>
    <row r="496">
      <c r="M496" s="93"/>
    </row>
    <row r="497">
      <c r="M497" s="93"/>
    </row>
    <row r="498">
      <c r="M498" s="93"/>
    </row>
    <row r="499">
      <c r="M499" s="93"/>
    </row>
    <row r="500">
      <c r="M500" s="93"/>
    </row>
    <row r="501">
      <c r="M501" s="93"/>
    </row>
    <row r="502">
      <c r="M502" s="93"/>
    </row>
    <row r="503">
      <c r="M503" s="93"/>
    </row>
    <row r="504">
      <c r="M504" s="93"/>
    </row>
    <row r="505">
      <c r="M505" s="93"/>
    </row>
    <row r="506">
      <c r="M506" s="93"/>
    </row>
    <row r="507">
      <c r="M507" s="93"/>
    </row>
    <row r="508">
      <c r="M508" s="93"/>
    </row>
    <row r="509">
      <c r="M509" s="93"/>
    </row>
    <row r="510">
      <c r="M510" s="93"/>
    </row>
    <row r="511">
      <c r="M511" s="93"/>
    </row>
    <row r="512">
      <c r="M512" s="93"/>
    </row>
    <row r="513">
      <c r="M513" s="93"/>
    </row>
    <row r="514">
      <c r="M514" s="93"/>
    </row>
    <row r="515">
      <c r="M515" s="93"/>
    </row>
    <row r="516">
      <c r="M516" s="93"/>
    </row>
    <row r="517">
      <c r="M517" s="93"/>
    </row>
    <row r="518">
      <c r="M518" s="93"/>
    </row>
    <row r="519">
      <c r="M519" s="93"/>
    </row>
    <row r="520">
      <c r="M520" s="93"/>
    </row>
    <row r="521">
      <c r="M521" s="93"/>
    </row>
    <row r="522">
      <c r="M522" s="93"/>
    </row>
    <row r="523">
      <c r="M523" s="93"/>
    </row>
    <row r="524">
      <c r="M524" s="93"/>
    </row>
    <row r="525">
      <c r="M525" s="93"/>
    </row>
    <row r="526">
      <c r="M526" s="93"/>
    </row>
    <row r="527">
      <c r="M527" s="93"/>
    </row>
    <row r="528">
      <c r="M528" s="93"/>
    </row>
    <row r="529">
      <c r="M529" s="93"/>
    </row>
    <row r="530">
      <c r="M530" s="93"/>
    </row>
    <row r="531">
      <c r="M531" s="93"/>
    </row>
    <row r="532">
      <c r="M532" s="93"/>
    </row>
    <row r="533">
      <c r="M533" s="93"/>
    </row>
    <row r="534">
      <c r="M534" s="93"/>
    </row>
    <row r="535">
      <c r="M535" s="93"/>
    </row>
    <row r="536">
      <c r="M536" s="93"/>
    </row>
    <row r="537">
      <c r="M537" s="93"/>
    </row>
    <row r="538">
      <c r="M538" s="93"/>
    </row>
    <row r="539">
      <c r="M539" s="93"/>
    </row>
    <row r="540">
      <c r="M540" s="93"/>
    </row>
    <row r="541">
      <c r="M541" s="93"/>
    </row>
    <row r="542">
      <c r="M542" s="93"/>
    </row>
    <row r="543">
      <c r="M543" s="93"/>
    </row>
    <row r="544">
      <c r="M544" s="93"/>
    </row>
    <row r="545">
      <c r="M545" s="93"/>
    </row>
    <row r="546">
      <c r="M546" s="93"/>
    </row>
    <row r="547">
      <c r="M547" s="93"/>
    </row>
    <row r="548">
      <c r="M548" s="93"/>
    </row>
    <row r="549">
      <c r="M549" s="93"/>
    </row>
    <row r="550">
      <c r="M550" s="93"/>
    </row>
    <row r="551">
      <c r="M551" s="93"/>
    </row>
    <row r="552">
      <c r="M552" s="93"/>
    </row>
    <row r="553">
      <c r="M553" s="93"/>
    </row>
    <row r="554">
      <c r="M554" s="93"/>
    </row>
    <row r="555">
      <c r="M555" s="93"/>
    </row>
    <row r="556">
      <c r="M556" s="93"/>
    </row>
    <row r="557">
      <c r="M557" s="93"/>
    </row>
    <row r="558">
      <c r="M558" s="93"/>
    </row>
    <row r="559">
      <c r="M559" s="93"/>
    </row>
    <row r="560">
      <c r="M560" s="93"/>
    </row>
    <row r="561">
      <c r="M561" s="93"/>
    </row>
    <row r="562">
      <c r="M562" s="93"/>
    </row>
    <row r="563">
      <c r="M563" s="93"/>
    </row>
    <row r="564">
      <c r="M564" s="93"/>
    </row>
    <row r="565">
      <c r="M565" s="93"/>
    </row>
    <row r="566">
      <c r="M566" s="93"/>
    </row>
    <row r="567">
      <c r="M567" s="93"/>
    </row>
    <row r="568">
      <c r="M568" s="93"/>
    </row>
    <row r="569">
      <c r="M569" s="93"/>
    </row>
    <row r="570">
      <c r="M570" s="93"/>
    </row>
    <row r="571">
      <c r="M571" s="93"/>
    </row>
    <row r="572">
      <c r="M572" s="93"/>
    </row>
    <row r="573">
      <c r="M573" s="93"/>
    </row>
    <row r="574">
      <c r="M574" s="93"/>
    </row>
    <row r="575">
      <c r="M575" s="93"/>
    </row>
    <row r="576">
      <c r="M576" s="93"/>
    </row>
    <row r="577">
      <c r="M577" s="93"/>
    </row>
    <row r="578">
      <c r="M578" s="93"/>
    </row>
    <row r="579">
      <c r="M579" s="93"/>
    </row>
    <row r="580">
      <c r="M580" s="93"/>
    </row>
    <row r="581">
      <c r="M581" s="93"/>
    </row>
    <row r="582">
      <c r="M582" s="93"/>
    </row>
    <row r="583">
      <c r="M583" s="93"/>
    </row>
    <row r="584">
      <c r="M584" s="93"/>
    </row>
    <row r="585">
      <c r="M585" s="93"/>
    </row>
    <row r="586">
      <c r="M586" s="93"/>
    </row>
    <row r="587">
      <c r="M587" s="93"/>
    </row>
    <row r="588">
      <c r="M588" s="93"/>
    </row>
    <row r="589">
      <c r="M589" s="93"/>
    </row>
    <row r="590">
      <c r="M590" s="93"/>
    </row>
    <row r="591">
      <c r="M591" s="93"/>
    </row>
    <row r="592">
      <c r="M592" s="93"/>
    </row>
    <row r="593">
      <c r="M593" s="93"/>
    </row>
    <row r="594">
      <c r="M594" s="93"/>
    </row>
    <row r="595">
      <c r="M595" s="93"/>
    </row>
    <row r="596">
      <c r="M596" s="93"/>
    </row>
    <row r="597">
      <c r="M597" s="93"/>
    </row>
    <row r="598">
      <c r="M598" s="93"/>
    </row>
    <row r="599">
      <c r="M599" s="93"/>
    </row>
    <row r="600">
      <c r="M600" s="93"/>
    </row>
    <row r="601">
      <c r="M601" s="93"/>
    </row>
    <row r="602">
      <c r="M602" s="93"/>
    </row>
    <row r="603">
      <c r="M603" s="93"/>
    </row>
    <row r="604">
      <c r="M604" s="93"/>
    </row>
    <row r="605">
      <c r="M605" s="93"/>
    </row>
    <row r="606">
      <c r="M606" s="93"/>
    </row>
    <row r="607">
      <c r="M607" s="93"/>
    </row>
    <row r="608">
      <c r="M608" s="93"/>
    </row>
    <row r="609">
      <c r="M609" s="93"/>
    </row>
    <row r="610">
      <c r="M610" s="93"/>
    </row>
    <row r="611">
      <c r="M611" s="93"/>
    </row>
    <row r="612">
      <c r="M612" s="93"/>
    </row>
    <row r="613">
      <c r="M613" s="93"/>
    </row>
    <row r="614">
      <c r="M614" s="93"/>
    </row>
    <row r="615">
      <c r="M615" s="93"/>
    </row>
    <row r="616">
      <c r="M616" s="93"/>
    </row>
    <row r="617">
      <c r="M617" s="93"/>
    </row>
    <row r="618">
      <c r="M618" s="93"/>
    </row>
    <row r="619">
      <c r="M619" s="93"/>
    </row>
    <row r="620">
      <c r="M620" s="93"/>
    </row>
    <row r="621">
      <c r="M621" s="93"/>
    </row>
    <row r="622">
      <c r="M622" s="93"/>
    </row>
    <row r="623">
      <c r="M623" s="93"/>
    </row>
    <row r="624">
      <c r="M624" s="93"/>
    </row>
    <row r="625">
      <c r="M625" s="93"/>
    </row>
    <row r="626">
      <c r="M626" s="93"/>
    </row>
    <row r="627">
      <c r="M627" s="93"/>
    </row>
    <row r="628">
      <c r="M628" s="93"/>
    </row>
    <row r="629">
      <c r="M629" s="93"/>
    </row>
    <row r="630">
      <c r="M630" s="93"/>
    </row>
    <row r="631">
      <c r="M631" s="93"/>
    </row>
    <row r="632">
      <c r="M632" s="93"/>
    </row>
    <row r="633">
      <c r="M633" s="93"/>
    </row>
    <row r="634">
      <c r="M634" s="93"/>
    </row>
    <row r="635">
      <c r="M635" s="93"/>
    </row>
    <row r="636">
      <c r="M636" s="93"/>
    </row>
    <row r="637">
      <c r="M637" s="93"/>
    </row>
    <row r="638">
      <c r="M638" s="93"/>
    </row>
    <row r="639">
      <c r="M639" s="93"/>
    </row>
    <row r="640">
      <c r="M640" s="93"/>
    </row>
    <row r="641">
      <c r="M641" s="93"/>
    </row>
    <row r="642">
      <c r="M642" s="93"/>
    </row>
    <row r="643">
      <c r="M643" s="93"/>
    </row>
    <row r="644">
      <c r="M644" s="93"/>
    </row>
    <row r="645">
      <c r="M645" s="93"/>
    </row>
    <row r="646">
      <c r="M646" s="93"/>
    </row>
    <row r="647">
      <c r="M647" s="93"/>
    </row>
    <row r="648">
      <c r="M648" s="93"/>
    </row>
    <row r="649">
      <c r="M649" s="93"/>
    </row>
    <row r="650">
      <c r="M650" s="93"/>
    </row>
    <row r="651">
      <c r="M651" s="93"/>
    </row>
    <row r="652">
      <c r="M652" s="93"/>
    </row>
    <row r="653">
      <c r="M653" s="93"/>
    </row>
    <row r="654">
      <c r="M654" s="93"/>
    </row>
    <row r="655">
      <c r="M655" s="93"/>
    </row>
    <row r="656">
      <c r="M656" s="93"/>
    </row>
    <row r="657">
      <c r="M657" s="93"/>
    </row>
    <row r="658">
      <c r="M658" s="93"/>
    </row>
    <row r="659">
      <c r="M659" s="93"/>
    </row>
    <row r="660">
      <c r="M660" s="93"/>
    </row>
    <row r="661">
      <c r="M661" s="93"/>
    </row>
    <row r="662">
      <c r="M662" s="93"/>
    </row>
    <row r="663">
      <c r="M663" s="93"/>
    </row>
    <row r="664">
      <c r="M664" s="93"/>
    </row>
    <row r="665">
      <c r="M665" s="93"/>
    </row>
    <row r="666">
      <c r="M666" s="93"/>
    </row>
    <row r="667">
      <c r="M667" s="93"/>
    </row>
    <row r="668">
      <c r="M668" s="93"/>
    </row>
    <row r="669">
      <c r="M669" s="93"/>
    </row>
    <row r="670">
      <c r="M670" s="93"/>
    </row>
    <row r="671">
      <c r="M671" s="93"/>
    </row>
    <row r="672">
      <c r="M672" s="93"/>
    </row>
    <row r="673">
      <c r="M673" s="93"/>
    </row>
    <row r="674">
      <c r="M674" s="93"/>
    </row>
    <row r="675">
      <c r="M675" s="93"/>
    </row>
    <row r="676">
      <c r="M676" s="93"/>
    </row>
    <row r="677">
      <c r="M677" s="93"/>
    </row>
    <row r="678">
      <c r="M678" s="93"/>
    </row>
    <row r="679">
      <c r="M679" s="93"/>
    </row>
    <row r="680">
      <c r="M680" s="93"/>
    </row>
    <row r="681">
      <c r="M681" s="93"/>
    </row>
    <row r="682">
      <c r="M682" s="93"/>
    </row>
    <row r="683">
      <c r="M683" s="93"/>
    </row>
    <row r="684">
      <c r="M684" s="93"/>
    </row>
    <row r="685">
      <c r="M685" s="93"/>
    </row>
    <row r="686">
      <c r="M686" s="93"/>
    </row>
    <row r="687">
      <c r="M687" s="93"/>
    </row>
    <row r="688">
      <c r="M688" s="93"/>
    </row>
    <row r="689">
      <c r="M689" s="93"/>
    </row>
    <row r="690">
      <c r="M690" s="93"/>
    </row>
    <row r="691">
      <c r="M691" s="93"/>
    </row>
    <row r="692">
      <c r="M692" s="93"/>
    </row>
    <row r="693">
      <c r="M693" s="93"/>
    </row>
    <row r="694">
      <c r="M694" s="93"/>
    </row>
    <row r="695">
      <c r="M695" s="93"/>
    </row>
    <row r="696">
      <c r="M696" s="93"/>
    </row>
    <row r="697">
      <c r="M697" s="93"/>
    </row>
    <row r="698">
      <c r="M698" s="93"/>
    </row>
    <row r="699">
      <c r="M699" s="93"/>
    </row>
    <row r="700">
      <c r="M700" s="93"/>
    </row>
    <row r="701">
      <c r="M701" s="93"/>
    </row>
    <row r="702">
      <c r="M702" s="93"/>
    </row>
    <row r="703">
      <c r="M703" s="93"/>
    </row>
    <row r="704">
      <c r="M704" s="93"/>
    </row>
    <row r="705">
      <c r="M705" s="93"/>
    </row>
    <row r="706">
      <c r="M706" s="93"/>
    </row>
    <row r="707">
      <c r="M707" s="93"/>
    </row>
    <row r="708">
      <c r="M708" s="93"/>
    </row>
    <row r="709">
      <c r="M709" s="93"/>
    </row>
    <row r="710">
      <c r="M710" s="93"/>
    </row>
    <row r="711">
      <c r="M711" s="93"/>
    </row>
    <row r="712">
      <c r="M712" s="93"/>
    </row>
    <row r="713">
      <c r="M713" s="93"/>
    </row>
    <row r="714">
      <c r="M714" s="93"/>
    </row>
    <row r="715">
      <c r="M715" s="93"/>
    </row>
    <row r="716">
      <c r="M716" s="93"/>
    </row>
    <row r="717">
      <c r="M717" s="93"/>
    </row>
    <row r="718">
      <c r="M718" s="93"/>
    </row>
    <row r="719">
      <c r="M719" s="93"/>
    </row>
    <row r="720">
      <c r="M720" s="93"/>
    </row>
    <row r="721">
      <c r="M721" s="93"/>
    </row>
    <row r="722">
      <c r="M722" s="93"/>
    </row>
    <row r="723">
      <c r="M723" s="93"/>
    </row>
    <row r="724">
      <c r="M724" s="93"/>
    </row>
    <row r="725">
      <c r="M725" s="93"/>
    </row>
    <row r="726">
      <c r="M726" s="93"/>
    </row>
    <row r="727">
      <c r="M727" s="93"/>
    </row>
    <row r="728">
      <c r="M728" s="93"/>
    </row>
    <row r="729">
      <c r="M729" s="93"/>
    </row>
    <row r="730">
      <c r="M730" s="93"/>
    </row>
    <row r="731">
      <c r="M731" s="93"/>
    </row>
    <row r="732">
      <c r="M732" s="93"/>
    </row>
    <row r="733">
      <c r="M733" s="93"/>
    </row>
    <row r="734">
      <c r="M734" s="93"/>
    </row>
    <row r="735">
      <c r="M735" s="93"/>
    </row>
    <row r="736">
      <c r="M736" s="93"/>
    </row>
    <row r="737">
      <c r="M737" s="93"/>
    </row>
    <row r="738">
      <c r="M738" s="93"/>
    </row>
    <row r="739">
      <c r="M739" s="93"/>
    </row>
    <row r="740">
      <c r="M740" s="93"/>
    </row>
    <row r="741">
      <c r="M741" s="93"/>
    </row>
    <row r="742">
      <c r="M742" s="93"/>
    </row>
    <row r="743">
      <c r="M743" s="93"/>
    </row>
    <row r="744">
      <c r="M744" s="93"/>
    </row>
    <row r="745">
      <c r="M745" s="93"/>
    </row>
    <row r="746">
      <c r="M746" s="93"/>
    </row>
    <row r="747">
      <c r="M747" s="93"/>
    </row>
    <row r="748">
      <c r="M748" s="93"/>
    </row>
    <row r="749">
      <c r="M749" s="93"/>
    </row>
    <row r="750">
      <c r="M750" s="93"/>
    </row>
    <row r="751">
      <c r="M751" s="93"/>
    </row>
    <row r="752">
      <c r="M752" s="93"/>
    </row>
    <row r="753">
      <c r="M753" s="93"/>
    </row>
    <row r="754">
      <c r="M754" s="93"/>
    </row>
    <row r="755">
      <c r="M755" s="93"/>
    </row>
    <row r="756">
      <c r="M756" s="93"/>
    </row>
    <row r="757">
      <c r="M757" s="93"/>
    </row>
    <row r="758">
      <c r="M758" s="93"/>
    </row>
    <row r="759">
      <c r="M759" s="93"/>
    </row>
    <row r="760">
      <c r="M760" s="93"/>
    </row>
    <row r="761">
      <c r="M761" s="93"/>
    </row>
    <row r="762">
      <c r="M762" s="93"/>
    </row>
    <row r="763">
      <c r="M763" s="93"/>
    </row>
    <row r="764">
      <c r="M764" s="93"/>
    </row>
    <row r="765">
      <c r="M765" s="93"/>
    </row>
    <row r="766">
      <c r="M766" s="93"/>
    </row>
    <row r="767">
      <c r="M767" s="93"/>
    </row>
    <row r="768">
      <c r="M768" s="93"/>
    </row>
    <row r="769">
      <c r="M769" s="93"/>
    </row>
    <row r="770">
      <c r="M770" s="93"/>
    </row>
    <row r="771">
      <c r="M771" s="93"/>
    </row>
    <row r="772">
      <c r="M772" s="93"/>
    </row>
    <row r="773">
      <c r="M773" s="93"/>
    </row>
    <row r="774">
      <c r="M774" s="93"/>
    </row>
    <row r="775">
      <c r="M775" s="93"/>
    </row>
    <row r="776">
      <c r="M776" s="93"/>
    </row>
    <row r="777">
      <c r="M777" s="93"/>
    </row>
    <row r="778">
      <c r="M778" s="93"/>
    </row>
    <row r="779">
      <c r="M779" s="93"/>
    </row>
    <row r="780">
      <c r="M780" s="93"/>
    </row>
    <row r="781">
      <c r="M781" s="93"/>
    </row>
    <row r="782">
      <c r="M782" s="93"/>
    </row>
    <row r="783">
      <c r="M783" s="93"/>
    </row>
    <row r="784">
      <c r="M784" s="93"/>
    </row>
    <row r="785">
      <c r="M785" s="93"/>
    </row>
    <row r="786">
      <c r="M786" s="93"/>
    </row>
    <row r="787">
      <c r="M787" s="93"/>
    </row>
    <row r="788">
      <c r="M788" s="93"/>
    </row>
    <row r="789">
      <c r="M789" s="93"/>
    </row>
    <row r="790">
      <c r="M790" s="93"/>
    </row>
    <row r="791">
      <c r="M791" s="93"/>
    </row>
    <row r="792">
      <c r="M792" s="93"/>
    </row>
    <row r="793">
      <c r="M793" s="93"/>
    </row>
    <row r="794">
      <c r="M794" s="93"/>
    </row>
    <row r="795">
      <c r="M795" s="93"/>
    </row>
    <row r="796">
      <c r="M796" s="93"/>
    </row>
    <row r="797">
      <c r="M797" s="93"/>
    </row>
    <row r="798">
      <c r="M798" s="93"/>
    </row>
    <row r="799">
      <c r="M799" s="93"/>
    </row>
    <row r="800">
      <c r="M800" s="93"/>
    </row>
    <row r="801">
      <c r="M801" s="93"/>
    </row>
    <row r="802">
      <c r="M802" s="93"/>
    </row>
    <row r="803">
      <c r="M803" s="93"/>
    </row>
    <row r="804">
      <c r="M804" s="93"/>
    </row>
    <row r="805">
      <c r="M805" s="93"/>
    </row>
    <row r="806">
      <c r="M806" s="93"/>
    </row>
    <row r="807">
      <c r="M807" s="93"/>
    </row>
    <row r="808">
      <c r="M808" s="93"/>
    </row>
    <row r="809">
      <c r="M809" s="93"/>
    </row>
    <row r="810">
      <c r="M810" s="93"/>
    </row>
    <row r="811">
      <c r="M811" s="93"/>
    </row>
    <row r="812">
      <c r="M812" s="93"/>
    </row>
    <row r="813">
      <c r="M813" s="93"/>
    </row>
    <row r="814">
      <c r="M814" s="93"/>
    </row>
    <row r="815">
      <c r="M815" s="93"/>
    </row>
    <row r="816">
      <c r="M816" s="93"/>
    </row>
    <row r="817">
      <c r="M817" s="93"/>
    </row>
    <row r="818">
      <c r="M818" s="93"/>
    </row>
    <row r="819">
      <c r="M819" s="93"/>
    </row>
    <row r="820">
      <c r="M820" s="93"/>
    </row>
    <row r="821">
      <c r="M821" s="93"/>
    </row>
    <row r="822">
      <c r="M822" s="93"/>
    </row>
    <row r="823">
      <c r="M823" s="93"/>
    </row>
    <row r="824">
      <c r="M824" s="93"/>
    </row>
    <row r="825">
      <c r="M825" s="93"/>
    </row>
    <row r="826">
      <c r="M826" s="93"/>
    </row>
    <row r="827">
      <c r="M827" s="93"/>
    </row>
    <row r="828">
      <c r="M828" s="93"/>
    </row>
    <row r="829">
      <c r="M829" s="93"/>
    </row>
    <row r="830">
      <c r="M830" s="93"/>
    </row>
    <row r="831">
      <c r="M831" s="93"/>
    </row>
    <row r="832">
      <c r="M832" s="93"/>
    </row>
    <row r="833">
      <c r="M833" s="93"/>
    </row>
    <row r="834">
      <c r="M834" s="93"/>
    </row>
    <row r="835">
      <c r="M835" s="93"/>
    </row>
    <row r="836">
      <c r="M836" s="93"/>
    </row>
    <row r="837">
      <c r="M837" s="93"/>
    </row>
    <row r="838">
      <c r="M838" s="93"/>
    </row>
    <row r="839">
      <c r="M839" s="93"/>
    </row>
    <row r="840">
      <c r="M840" s="93"/>
    </row>
    <row r="841">
      <c r="M841" s="93"/>
    </row>
    <row r="842">
      <c r="M842" s="93"/>
    </row>
    <row r="843">
      <c r="M843" s="93"/>
    </row>
    <row r="844">
      <c r="M844" s="93"/>
    </row>
    <row r="845">
      <c r="M845" s="93"/>
    </row>
    <row r="846">
      <c r="M846" s="93"/>
    </row>
    <row r="847">
      <c r="M847" s="93"/>
    </row>
    <row r="848">
      <c r="M848" s="93"/>
    </row>
    <row r="849">
      <c r="M849" s="93"/>
    </row>
    <row r="850">
      <c r="M850" s="93"/>
    </row>
    <row r="851">
      <c r="M851" s="93"/>
    </row>
    <row r="852">
      <c r="M852" s="93"/>
    </row>
    <row r="853">
      <c r="M853" s="93"/>
    </row>
    <row r="854">
      <c r="M854" s="93"/>
    </row>
    <row r="855">
      <c r="M855" s="93"/>
    </row>
    <row r="856">
      <c r="M856" s="93"/>
    </row>
    <row r="857">
      <c r="M857" s="93"/>
    </row>
    <row r="858">
      <c r="M858" s="93"/>
    </row>
    <row r="859">
      <c r="M859" s="93"/>
    </row>
    <row r="860">
      <c r="M860" s="93"/>
    </row>
    <row r="861">
      <c r="M861" s="93"/>
    </row>
    <row r="862">
      <c r="M862" s="93"/>
    </row>
    <row r="863">
      <c r="M863" s="93"/>
    </row>
    <row r="864">
      <c r="M864" s="93"/>
    </row>
    <row r="865">
      <c r="M865" s="93"/>
    </row>
    <row r="866">
      <c r="M866" s="93"/>
    </row>
    <row r="867">
      <c r="M867" s="93"/>
    </row>
    <row r="868">
      <c r="M868" s="93"/>
    </row>
    <row r="869">
      <c r="M869" s="93"/>
    </row>
    <row r="870">
      <c r="M870" s="93"/>
    </row>
    <row r="871">
      <c r="M871" s="93"/>
    </row>
    <row r="872">
      <c r="M872" s="93"/>
    </row>
    <row r="873">
      <c r="M873" s="93"/>
    </row>
    <row r="874">
      <c r="M874" s="93"/>
    </row>
    <row r="875">
      <c r="M875" s="93"/>
    </row>
    <row r="876">
      <c r="M876" s="93"/>
    </row>
    <row r="877">
      <c r="M877" s="93"/>
    </row>
    <row r="878">
      <c r="M878" s="93"/>
    </row>
    <row r="879">
      <c r="M879" s="93"/>
    </row>
    <row r="880">
      <c r="M880" s="93"/>
    </row>
    <row r="881">
      <c r="M881" s="93"/>
    </row>
    <row r="882">
      <c r="M882" s="93"/>
    </row>
    <row r="883">
      <c r="M883" s="93"/>
    </row>
    <row r="884">
      <c r="M884" s="93"/>
    </row>
    <row r="885">
      <c r="M885" s="93"/>
    </row>
    <row r="886">
      <c r="M886" s="93"/>
    </row>
    <row r="887">
      <c r="M887" s="93"/>
    </row>
    <row r="888">
      <c r="M888" s="93"/>
    </row>
    <row r="889">
      <c r="M889" s="93"/>
    </row>
    <row r="890">
      <c r="M890" s="93"/>
    </row>
    <row r="891">
      <c r="M891" s="93"/>
    </row>
    <row r="892">
      <c r="M892" s="93"/>
    </row>
    <row r="893">
      <c r="M893" s="93"/>
    </row>
    <row r="894">
      <c r="M894" s="93"/>
    </row>
    <row r="895">
      <c r="M895" s="93"/>
    </row>
    <row r="896">
      <c r="M896" s="93"/>
    </row>
    <row r="897">
      <c r="M897" s="93"/>
    </row>
    <row r="898">
      <c r="M898" s="93"/>
    </row>
    <row r="899">
      <c r="M899" s="93"/>
    </row>
    <row r="900">
      <c r="M900" s="93"/>
    </row>
    <row r="901">
      <c r="M901" s="93"/>
    </row>
    <row r="902">
      <c r="M902" s="93"/>
    </row>
    <row r="903">
      <c r="M903" s="93"/>
    </row>
    <row r="904">
      <c r="M904" s="93"/>
    </row>
    <row r="905">
      <c r="M905" s="93"/>
    </row>
    <row r="906">
      <c r="M906" s="93"/>
    </row>
    <row r="907">
      <c r="M907" s="93"/>
    </row>
    <row r="908">
      <c r="M908" s="93"/>
    </row>
    <row r="909">
      <c r="M909" s="93"/>
    </row>
    <row r="910">
      <c r="M910" s="93"/>
    </row>
    <row r="911">
      <c r="M911" s="93"/>
    </row>
    <row r="912">
      <c r="M912" s="93"/>
    </row>
    <row r="913">
      <c r="M913" s="93"/>
    </row>
    <row r="914">
      <c r="M914" s="93"/>
    </row>
    <row r="915">
      <c r="M915" s="93"/>
    </row>
    <row r="916">
      <c r="M916" s="93"/>
    </row>
    <row r="917">
      <c r="M917" s="93"/>
    </row>
    <row r="918">
      <c r="M918" s="93"/>
    </row>
    <row r="919">
      <c r="M919" s="93"/>
    </row>
    <row r="920">
      <c r="M920" s="93"/>
    </row>
    <row r="921">
      <c r="M921" s="93"/>
    </row>
    <row r="922">
      <c r="M922" s="93"/>
    </row>
    <row r="923">
      <c r="M923" s="93"/>
    </row>
    <row r="924">
      <c r="M924" s="93"/>
    </row>
    <row r="925">
      <c r="M925" s="93"/>
    </row>
    <row r="926">
      <c r="M926" s="93"/>
    </row>
    <row r="927">
      <c r="M927" s="93"/>
    </row>
    <row r="928">
      <c r="M928" s="93"/>
    </row>
    <row r="929">
      <c r="M929" s="93"/>
    </row>
    <row r="930">
      <c r="M930" s="93"/>
    </row>
    <row r="931">
      <c r="M931" s="93"/>
    </row>
    <row r="932">
      <c r="M932" s="93"/>
    </row>
    <row r="933">
      <c r="M933" s="93"/>
    </row>
    <row r="934">
      <c r="M934" s="93"/>
    </row>
    <row r="935">
      <c r="M935" s="93"/>
    </row>
    <row r="936">
      <c r="M936" s="93"/>
    </row>
    <row r="937">
      <c r="M937" s="93"/>
    </row>
    <row r="938">
      <c r="M938" s="93"/>
    </row>
    <row r="939">
      <c r="M939" s="93"/>
    </row>
    <row r="940">
      <c r="M940" s="93"/>
    </row>
    <row r="941">
      <c r="M941" s="93"/>
    </row>
    <row r="942">
      <c r="M942" s="93"/>
    </row>
    <row r="943">
      <c r="M943" s="93"/>
    </row>
    <row r="944">
      <c r="M944" s="93"/>
    </row>
    <row r="945">
      <c r="M945" s="93"/>
    </row>
    <row r="946">
      <c r="M946" s="93"/>
    </row>
    <row r="947">
      <c r="M947" s="93"/>
    </row>
    <row r="948">
      <c r="M948" s="93"/>
    </row>
    <row r="949">
      <c r="M949" s="93"/>
    </row>
    <row r="950">
      <c r="M950" s="93"/>
    </row>
    <row r="951">
      <c r="M951" s="93"/>
    </row>
    <row r="952">
      <c r="M952" s="93"/>
    </row>
    <row r="953">
      <c r="M953" s="93"/>
    </row>
    <row r="954">
      <c r="M954" s="93"/>
    </row>
    <row r="955">
      <c r="M955" s="93"/>
    </row>
    <row r="956">
      <c r="M956" s="93"/>
    </row>
    <row r="957">
      <c r="M957" s="93"/>
    </row>
    <row r="958">
      <c r="M958" s="93"/>
    </row>
    <row r="959">
      <c r="M959" s="93"/>
    </row>
    <row r="960">
      <c r="M960" s="93"/>
    </row>
    <row r="961">
      <c r="M961" s="93"/>
    </row>
    <row r="962">
      <c r="M962" s="93"/>
    </row>
    <row r="963">
      <c r="M963" s="93"/>
    </row>
    <row r="964">
      <c r="M964" s="93"/>
    </row>
    <row r="965">
      <c r="M965" s="93"/>
    </row>
    <row r="966">
      <c r="M966" s="93"/>
    </row>
    <row r="967">
      <c r="M967" s="93"/>
    </row>
    <row r="968">
      <c r="M968" s="93"/>
    </row>
    <row r="969">
      <c r="M969" s="93"/>
    </row>
    <row r="970">
      <c r="M970" s="93"/>
    </row>
    <row r="971">
      <c r="M971" s="93"/>
    </row>
    <row r="972">
      <c r="M972" s="93"/>
    </row>
    <row r="973">
      <c r="M973" s="93"/>
    </row>
    <row r="974">
      <c r="M974" s="93"/>
    </row>
    <row r="975">
      <c r="M975" s="93"/>
    </row>
    <row r="976">
      <c r="M976" s="93"/>
    </row>
    <row r="977">
      <c r="M977" s="93"/>
    </row>
    <row r="978">
      <c r="M978" s="93"/>
    </row>
    <row r="979">
      <c r="M979" s="93"/>
    </row>
    <row r="980">
      <c r="M980" s="93"/>
    </row>
    <row r="981">
      <c r="M981" s="93"/>
    </row>
    <row r="982">
      <c r="M982" s="93"/>
    </row>
    <row r="983">
      <c r="M983" s="93"/>
    </row>
    <row r="984">
      <c r="M984" s="93"/>
    </row>
    <row r="985">
      <c r="M985" s="93"/>
    </row>
    <row r="986">
      <c r="M986" s="93"/>
    </row>
    <row r="987">
      <c r="M987" s="93"/>
    </row>
    <row r="988">
      <c r="M988" s="93"/>
    </row>
    <row r="989">
      <c r="M989" s="93"/>
    </row>
    <row r="990">
      <c r="M990" s="93"/>
    </row>
    <row r="991">
      <c r="M991" s="93"/>
    </row>
    <row r="992">
      <c r="M992" s="93"/>
    </row>
    <row r="993">
      <c r="M993" s="93"/>
    </row>
    <row r="994">
      <c r="M994" s="93"/>
    </row>
    <row r="995">
      <c r="M995" s="93"/>
    </row>
    <row r="996">
      <c r="M996" s="93"/>
    </row>
    <row r="997">
      <c r="M997" s="93"/>
    </row>
    <row r="998">
      <c r="M998" s="93"/>
    </row>
    <row r="999">
      <c r="M999" s="93"/>
    </row>
    <row r="1000">
      <c r="M1000" s="93"/>
    </row>
  </sheetData>
  <mergeCells count="4">
    <mergeCell ref="A1:B1"/>
    <mergeCell ref="E1:G1"/>
    <mergeCell ref="A5:B5"/>
    <mergeCell ref="N8:Q8"/>
  </mergeCells>
  <conditionalFormatting sqref="M11:M1000">
    <cfRule type="expression" dxfId="5" priority="1">
      <formula>$M11&lt;TODAY()</formula>
    </cfRule>
  </conditionalFormatting>
  <conditionalFormatting sqref="A11:Q99">
    <cfRule type="expression" dxfId="6" priority="2">
      <formula>$A11=false</formula>
    </cfRule>
  </conditionalFormatting>
  <conditionalFormatting sqref="I11:I1000">
    <cfRule type="expression" dxfId="7" priority="3">
      <formula>$B11=TRUE</formula>
    </cfRule>
  </conditionalFormatting>
  <dataValidations>
    <dataValidation type="list" allowBlank="1" sqref="F11:F99 H11:H99">
      <formula1>"FIRE STICK,ROKU,ANDROID"</formula1>
    </dataValidation>
    <dataValidation type="custom" allowBlank="1" showDropDown="1" sqref="K11:K99 M11:M99">
      <formula1>OR(NOT(ISERROR(DATEVALUE(K11))), AND(ISNUMBER(K11), LEFT(CELL("format", K11))="D"))</formula1>
    </dataValidation>
    <dataValidation type="custom" allowBlank="1" showDropDown="1" sqref="L11:L99 N11:N99">
      <formula1>AND(ISNUMBER(L11),(NOT(OR(NOT(ISERROR(DATEVALUE(L11))), AND(ISNUMBER(L11), LEFT(CELL("format", L11))="D")))))</formula1>
    </dataValidation>
    <dataValidation allowBlank="1" showDropDown="1" sqref="C11:E99 J11:J99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5.88"/>
    <col customWidth="1" min="2" max="2" width="13.38"/>
    <col customWidth="1" min="3" max="3" width="18.75"/>
    <col customWidth="1" min="4" max="4" width="39.0"/>
    <col customWidth="1" min="5" max="5" width="17.5"/>
    <col customWidth="1" min="6" max="6" width="14.63"/>
    <col customWidth="1" min="7" max="7" width="16.75"/>
    <col customWidth="1" min="8" max="8" width="14.63"/>
    <col customWidth="1" min="9" max="9" width="12.25"/>
    <col customWidth="1" min="10" max="10" width="14.63"/>
    <col customWidth="1" min="11" max="11" width="12.25"/>
    <col customWidth="1" min="12" max="13" width="19.63"/>
    <col customWidth="1" min="14" max="14" width="16.0"/>
    <col customWidth="1" min="15" max="15" width="20.25"/>
    <col customWidth="1" min="16" max="16" width="14.13"/>
    <col customWidth="1" min="17" max="17" width="16.13"/>
    <col customWidth="1" min="18" max="18" width="18.13"/>
    <col customWidth="1" min="19" max="19" width="17.38"/>
  </cols>
  <sheetData>
    <row r="1">
      <c r="A1" s="1" t="s">
        <v>104</v>
      </c>
      <c r="E1" s="94" t="s">
        <v>1</v>
      </c>
    </row>
    <row r="2">
      <c r="A2" s="3" t="s">
        <v>2</v>
      </c>
      <c r="B2" s="4" t="s">
        <v>3</v>
      </c>
      <c r="E2" s="95" t="s">
        <v>4</v>
      </c>
      <c r="F2" s="95" t="s">
        <v>5</v>
      </c>
      <c r="G2" s="95" t="s">
        <v>6</v>
      </c>
    </row>
    <row r="3">
      <c r="A3" s="6">
        <f>COUNTIF(TB_FUTURE[ESTATUS],TRUE)</f>
        <v>10</v>
      </c>
      <c r="B3" s="7">
        <f>COUNTIFS(TB_FUTURE[ESTATUS],FALSE,TB_FUTURE[TV 1],TRUE)</f>
        <v>0</v>
      </c>
      <c r="E3" s="96">
        <v>0.0</v>
      </c>
      <c r="F3" s="96">
        <f>SUMIF(A11:A1000,TRUE,N11:N1000)</f>
        <v>15</v>
      </c>
      <c r="G3" s="96">
        <f>IF((E3-F3)&lt;0,0,E3-F3)</f>
        <v>0</v>
      </c>
    </row>
    <row r="5">
      <c r="A5" s="10" t="s">
        <v>7</v>
      </c>
    </row>
    <row r="6">
      <c r="A6" s="11" t="s">
        <v>8</v>
      </c>
      <c r="B6" s="12">
        <f>COUNTIFS(TB_FUTURE[ESTATUS],TRUE,TB_FUTURE[EQUIPO],"FIRE STICK") + COUNTIFS(TB_FUTURE[ESTATUS],TRUE,TB_FUTURE[EQUIPO 2],"FIRE STICK") + COUNTIFS(TB_FUTURE[ESTATUS],TRUE,TB_FUTURE[EQUIPO 3],"FIRE STICK")</f>
        <v>28</v>
      </c>
    </row>
    <row r="7">
      <c r="A7" s="13" t="s">
        <v>9</v>
      </c>
      <c r="B7" s="14">
        <f>COUNTIFS(TB_FUTURE[ESTATUS],TRUE,TB_FUTURE[EQUIPO],"ROKU") + COUNTIFS(TB_FUTURE[ESTATUS],TRUE,TB_FUTURE[EQUIPO 2],"ROKU") + COUNTIFS(TB_FUTURE[ESTATUS],TRUE,TB_FUTURE[EQUIPO 3],"ROKU")</f>
        <v>0</v>
      </c>
    </row>
    <row r="8">
      <c r="A8" s="15" t="s">
        <v>10</v>
      </c>
      <c r="B8" s="16">
        <f>COUNTIFS(TB_FUTURE[ESTATUS],TRUE,TB_FUTURE[EQUIPO],"ANDROID") + COUNTIFS(TB_FUTURE[ESTATUS],TRUE,TB_FUTURE[EQUIPO 2],"ANDROID") + COUNTIFS(TB_FUTURE[ESTATUS],TRUE,TB_FUTURE[EQUIPO 3],"ANDROID")</f>
        <v>0</v>
      </c>
      <c r="P8" s="17" t="s">
        <v>11</v>
      </c>
    </row>
    <row r="9">
      <c r="O9" s="18" t="s">
        <v>12</v>
      </c>
      <c r="P9" s="19">
        <f>SUMIF(TB_FUTURE[ESTATUS],TRUE,TB_FUTURE[COSTO])</f>
        <v>1790</v>
      </c>
      <c r="Q9" s="20">
        <f>SUMIFS(TB_FUTURE[COSTO],TB_FUTURE[ENERO],TRUE,TB_FUTURE[ESTATUS],TRUE)</f>
        <v>1130</v>
      </c>
      <c r="R9" s="21">
        <f>SUMIFS(TB_FUTURE[COSTO],TB_FUTURE[FEBRERO],TRUE,TB_FUTURE[ESTATUS],TRUE)</f>
        <v>470</v>
      </c>
      <c r="S9" s="22">
        <f>SUMIFS(TB_FUTURE[COSTO],TB_FUTURE[MARZO],TRUE,TB_FUTURE[ESTATUS],TRUE)</f>
        <v>220</v>
      </c>
    </row>
    <row r="10" ht="22.5" customHeight="1">
      <c r="A10" s="97" t="s">
        <v>13</v>
      </c>
      <c r="B10" s="98" t="s">
        <v>14</v>
      </c>
      <c r="C10" s="97" t="s">
        <v>15</v>
      </c>
      <c r="D10" s="97" t="s">
        <v>16</v>
      </c>
      <c r="E10" s="97" t="s">
        <v>17</v>
      </c>
      <c r="F10" s="97" t="s">
        <v>18</v>
      </c>
      <c r="G10" s="97" t="s">
        <v>19</v>
      </c>
      <c r="H10" s="97" t="s">
        <v>20</v>
      </c>
      <c r="I10" s="97" t="s">
        <v>21</v>
      </c>
      <c r="J10" s="97" t="s">
        <v>105</v>
      </c>
      <c r="K10" s="97" t="s">
        <v>106</v>
      </c>
      <c r="L10" s="99" t="s">
        <v>22</v>
      </c>
      <c r="M10" s="100" t="s">
        <v>23</v>
      </c>
      <c r="N10" s="100" t="s">
        <v>24</v>
      </c>
      <c r="O10" s="99" t="s">
        <v>25</v>
      </c>
      <c r="P10" s="99" t="s">
        <v>26</v>
      </c>
      <c r="Q10" s="100" t="s">
        <v>27</v>
      </c>
      <c r="R10" s="100" t="s">
        <v>28</v>
      </c>
      <c r="S10" s="100" t="s">
        <v>29</v>
      </c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ht="22.5" customHeight="1">
      <c r="A11" s="101" t="b">
        <v>1</v>
      </c>
      <c r="B11" s="101" t="b">
        <v>0</v>
      </c>
      <c r="C11" s="102" t="s">
        <v>107</v>
      </c>
      <c r="D11" s="102" t="s">
        <v>108</v>
      </c>
      <c r="E11" s="103" t="s">
        <v>109</v>
      </c>
      <c r="F11" s="104" t="s">
        <v>8</v>
      </c>
      <c r="G11" s="101" t="b">
        <v>1</v>
      </c>
      <c r="H11" s="104" t="s">
        <v>8</v>
      </c>
      <c r="I11" s="101" t="b">
        <v>1</v>
      </c>
      <c r="J11" s="104" t="s">
        <v>8</v>
      </c>
      <c r="K11" s="101" t="b">
        <v>1</v>
      </c>
      <c r="L11" s="105"/>
      <c r="M11" s="106">
        <v>46038.0</v>
      </c>
      <c r="N11" s="107">
        <v>1.0</v>
      </c>
      <c r="O11" s="108">
        <v>46097.0</v>
      </c>
      <c r="P11" s="109">
        <v>220.0</v>
      </c>
      <c r="Q11" s="101" t="b">
        <v>1</v>
      </c>
      <c r="R11" s="101" t="b">
        <v>0</v>
      </c>
      <c r="S11" s="101" t="b">
        <v>0</v>
      </c>
      <c r="T11" s="110"/>
      <c r="U11" s="110"/>
      <c r="V11" s="110"/>
      <c r="W11" s="110"/>
      <c r="X11" s="110"/>
      <c r="Y11" s="110"/>
      <c r="Z11" s="110"/>
      <c r="AA11" s="110"/>
      <c r="AB11" s="110"/>
      <c r="AC11" s="110"/>
    </row>
    <row r="12" ht="22.5" customHeight="1">
      <c r="A12" s="101" t="b">
        <v>1</v>
      </c>
      <c r="B12" s="101" t="b">
        <v>0</v>
      </c>
      <c r="C12" s="102" t="s">
        <v>110</v>
      </c>
      <c r="D12" s="102" t="s">
        <v>108</v>
      </c>
      <c r="E12" s="103" t="s">
        <v>109</v>
      </c>
      <c r="F12" s="104" t="s">
        <v>8</v>
      </c>
      <c r="G12" s="101" t="b">
        <v>1</v>
      </c>
      <c r="H12" s="104" t="s">
        <v>8</v>
      </c>
      <c r="I12" s="101" t="b">
        <v>1</v>
      </c>
      <c r="J12" s="104" t="s">
        <v>8</v>
      </c>
      <c r="K12" s="101" t="b">
        <v>1</v>
      </c>
      <c r="L12" s="105"/>
      <c r="M12" s="106">
        <v>46058.0</v>
      </c>
      <c r="N12" s="107">
        <v>1.0</v>
      </c>
      <c r="O12" s="111">
        <f t="shared" ref="O12:O99" si="1">IF(N12&gt;0,IF(AND(M12&lt;&gt;"",N12&lt;&gt;""),DATE(YEAR(M12),MONTH(M12)+N12,DAY(M12)),""),"")</f>
        <v>46086</v>
      </c>
      <c r="P12" s="109">
        <v>220.0</v>
      </c>
      <c r="Q12" s="101" t="b">
        <v>1</v>
      </c>
      <c r="R12" s="101" t="b">
        <v>0</v>
      </c>
      <c r="S12" s="101" t="b">
        <v>0</v>
      </c>
      <c r="T12" s="110"/>
      <c r="U12" s="110"/>
      <c r="V12" s="110"/>
      <c r="W12" s="110"/>
      <c r="X12" s="110"/>
      <c r="Y12" s="110"/>
      <c r="Z12" s="110"/>
      <c r="AA12" s="110"/>
      <c r="AB12" s="110"/>
      <c r="AC12" s="110"/>
    </row>
    <row r="13" ht="22.5" customHeight="1">
      <c r="A13" s="101" t="b">
        <v>1</v>
      </c>
      <c r="B13" s="101" t="b">
        <v>0</v>
      </c>
      <c r="C13" s="102" t="s">
        <v>111</v>
      </c>
      <c r="D13" s="102" t="s">
        <v>108</v>
      </c>
      <c r="E13" s="103" t="s">
        <v>109</v>
      </c>
      <c r="F13" s="104" t="s">
        <v>8</v>
      </c>
      <c r="G13" s="101" t="b">
        <v>1</v>
      </c>
      <c r="H13" s="104" t="s">
        <v>8</v>
      </c>
      <c r="I13" s="101" t="b">
        <v>1</v>
      </c>
      <c r="J13" s="104" t="s">
        <v>8</v>
      </c>
      <c r="K13" s="101" t="b">
        <v>1</v>
      </c>
      <c r="L13" s="105"/>
      <c r="M13" s="106">
        <v>46058.0</v>
      </c>
      <c r="N13" s="107">
        <v>1.0</v>
      </c>
      <c r="O13" s="111">
        <f t="shared" si="1"/>
        <v>46086</v>
      </c>
      <c r="P13" s="109">
        <v>220.0</v>
      </c>
      <c r="Q13" s="101" t="b">
        <v>1</v>
      </c>
      <c r="R13" s="101" t="b">
        <v>0</v>
      </c>
      <c r="S13" s="101" t="b">
        <v>0</v>
      </c>
      <c r="T13" s="110"/>
      <c r="U13" s="110"/>
      <c r="V13" s="110"/>
      <c r="W13" s="110"/>
      <c r="X13" s="110"/>
      <c r="Y13" s="110"/>
      <c r="Z13" s="110"/>
      <c r="AA13" s="110"/>
      <c r="AB13" s="110"/>
      <c r="AC13" s="110"/>
    </row>
    <row r="14" ht="22.5" customHeight="1">
      <c r="A14" s="101" t="b">
        <v>1</v>
      </c>
      <c r="B14" s="101" t="b">
        <v>0</v>
      </c>
      <c r="C14" s="102" t="s">
        <v>112</v>
      </c>
      <c r="D14" s="102" t="s">
        <v>108</v>
      </c>
      <c r="E14" s="103" t="s">
        <v>109</v>
      </c>
      <c r="F14" s="104" t="s">
        <v>8</v>
      </c>
      <c r="G14" s="101" t="b">
        <v>1</v>
      </c>
      <c r="H14" s="104" t="s">
        <v>8</v>
      </c>
      <c r="I14" s="101" t="b">
        <v>1</v>
      </c>
      <c r="J14" s="104" t="s">
        <v>8</v>
      </c>
      <c r="K14" s="101" t="b">
        <v>1</v>
      </c>
      <c r="L14" s="105"/>
      <c r="M14" s="106">
        <v>46058.0</v>
      </c>
      <c r="N14" s="107">
        <v>1.0</v>
      </c>
      <c r="O14" s="111">
        <f t="shared" si="1"/>
        <v>46086</v>
      </c>
      <c r="P14" s="109">
        <v>220.0</v>
      </c>
      <c r="Q14" s="101" t="b">
        <v>0</v>
      </c>
      <c r="R14" s="101" t="b">
        <v>0</v>
      </c>
      <c r="S14" s="101" t="b">
        <v>0</v>
      </c>
      <c r="T14" s="110"/>
      <c r="U14" s="110"/>
      <c r="V14" s="110"/>
      <c r="W14" s="110"/>
      <c r="X14" s="110"/>
      <c r="Y14" s="110"/>
      <c r="Z14" s="110"/>
      <c r="AA14" s="110"/>
      <c r="AB14" s="110"/>
      <c r="AC14" s="110"/>
    </row>
    <row r="15" ht="22.5" customHeight="1">
      <c r="A15" s="40" t="b">
        <v>1</v>
      </c>
      <c r="B15" s="28" t="b">
        <v>0</v>
      </c>
      <c r="C15" s="29" t="s">
        <v>113</v>
      </c>
      <c r="D15" s="32" t="s">
        <v>114</v>
      </c>
      <c r="E15" s="30" t="s">
        <v>109</v>
      </c>
      <c r="F15" s="41" t="s">
        <v>8</v>
      </c>
      <c r="G15" s="40" t="b">
        <v>1</v>
      </c>
      <c r="H15" s="41" t="s">
        <v>8</v>
      </c>
      <c r="I15" s="40" t="b">
        <v>1</v>
      </c>
      <c r="J15" s="41" t="s">
        <v>8</v>
      </c>
      <c r="K15" s="40" t="b">
        <v>1</v>
      </c>
      <c r="L15" s="112" t="s">
        <v>115</v>
      </c>
      <c r="M15" s="35">
        <v>45994.0</v>
      </c>
      <c r="N15" s="34">
        <v>3.0</v>
      </c>
      <c r="O15" s="35">
        <f t="shared" si="1"/>
        <v>46084</v>
      </c>
      <c r="P15" s="113">
        <v>220.0</v>
      </c>
      <c r="Q15" s="37" t="b">
        <v>1</v>
      </c>
      <c r="R15" s="38" t="b">
        <v>1</v>
      </c>
      <c r="S15" s="39" t="b">
        <v>1</v>
      </c>
    </row>
    <row r="16" ht="22.5" customHeight="1">
      <c r="A16" s="39" t="b">
        <v>1</v>
      </c>
      <c r="B16" s="39" t="b">
        <v>0</v>
      </c>
      <c r="C16" s="45" t="s">
        <v>116</v>
      </c>
      <c r="D16" s="45" t="s">
        <v>76</v>
      </c>
      <c r="E16" s="46" t="s">
        <v>117</v>
      </c>
      <c r="F16" s="47" t="s">
        <v>8</v>
      </c>
      <c r="G16" s="39" t="b">
        <v>1</v>
      </c>
      <c r="H16" s="47" t="s">
        <v>8</v>
      </c>
      <c r="I16" s="39" t="b">
        <v>1</v>
      </c>
      <c r="J16" s="47" t="s">
        <v>8</v>
      </c>
      <c r="K16" s="39" t="b">
        <v>1</v>
      </c>
      <c r="L16" s="114"/>
      <c r="M16" s="56">
        <v>46054.0</v>
      </c>
      <c r="N16" s="57">
        <v>1.0</v>
      </c>
      <c r="O16" s="58">
        <f t="shared" si="1"/>
        <v>46082</v>
      </c>
      <c r="P16" s="115">
        <v>250.0</v>
      </c>
      <c r="Q16" s="39" t="b">
        <v>1</v>
      </c>
      <c r="R16" s="39" t="b">
        <v>1</v>
      </c>
      <c r="S16" s="39" t="b">
        <v>0</v>
      </c>
      <c r="T16" s="52"/>
      <c r="U16" s="52"/>
      <c r="V16" s="52"/>
      <c r="W16" s="52"/>
      <c r="X16" s="52"/>
      <c r="Y16" s="52"/>
      <c r="Z16" s="52"/>
      <c r="AA16" s="52"/>
      <c r="AB16" s="52"/>
      <c r="AC16" s="52"/>
    </row>
    <row r="17" ht="22.5" customHeight="1">
      <c r="A17" s="40" t="b">
        <v>1</v>
      </c>
      <c r="B17" s="28" t="b">
        <v>0</v>
      </c>
      <c r="C17" s="29" t="s">
        <v>118</v>
      </c>
      <c r="D17" s="32" t="s">
        <v>119</v>
      </c>
      <c r="E17" s="30" t="s">
        <v>109</v>
      </c>
      <c r="F17" s="41" t="s">
        <v>8</v>
      </c>
      <c r="G17" s="40" t="b">
        <v>1</v>
      </c>
      <c r="H17" s="41" t="s">
        <v>8</v>
      </c>
      <c r="I17" s="40" t="b">
        <v>1</v>
      </c>
      <c r="J17" s="41" t="s">
        <v>8</v>
      </c>
      <c r="K17" s="40" t="b">
        <v>1</v>
      </c>
      <c r="L17" s="116"/>
      <c r="M17" s="33">
        <v>46056.0</v>
      </c>
      <c r="N17" s="78">
        <v>1.0</v>
      </c>
      <c r="O17" s="35">
        <f t="shared" si="1"/>
        <v>46084</v>
      </c>
      <c r="P17" s="113">
        <v>220.0</v>
      </c>
      <c r="Q17" s="37" t="b">
        <v>0</v>
      </c>
      <c r="R17" s="38" t="b">
        <v>0</v>
      </c>
      <c r="S17" s="39" t="b">
        <v>0</v>
      </c>
    </row>
    <row r="18" ht="22.5" customHeight="1">
      <c r="A18" s="40" t="b">
        <v>1</v>
      </c>
      <c r="B18" s="28" t="b">
        <v>0</v>
      </c>
      <c r="C18" s="29" t="s">
        <v>120</v>
      </c>
      <c r="D18" s="32" t="s">
        <v>121</v>
      </c>
      <c r="E18" s="30" t="s">
        <v>109</v>
      </c>
      <c r="F18" s="41" t="s">
        <v>8</v>
      </c>
      <c r="G18" s="40" t="b">
        <v>1</v>
      </c>
      <c r="H18" s="41" t="s">
        <v>8</v>
      </c>
      <c r="I18" s="40" t="b">
        <v>1</v>
      </c>
      <c r="J18" s="41" t="s">
        <v>8</v>
      </c>
      <c r="K18" s="40" t="b">
        <v>1</v>
      </c>
      <c r="L18" s="117"/>
      <c r="M18" s="44">
        <v>45976.0</v>
      </c>
      <c r="N18" s="43">
        <v>1.0</v>
      </c>
      <c r="O18" s="118">
        <f t="shared" si="1"/>
        <v>46006</v>
      </c>
      <c r="P18" s="119">
        <v>220.0</v>
      </c>
      <c r="Q18" s="37" t="b">
        <v>0</v>
      </c>
      <c r="R18" s="38" t="b">
        <v>0</v>
      </c>
      <c r="S18" s="39" t="b">
        <v>0</v>
      </c>
    </row>
    <row r="19" ht="22.5" customHeight="1">
      <c r="A19" s="39" t="b">
        <v>1</v>
      </c>
      <c r="B19" s="39" t="b">
        <v>0</v>
      </c>
      <c r="C19" s="45" t="s">
        <v>122</v>
      </c>
      <c r="D19" s="45" t="s">
        <v>76</v>
      </c>
      <c r="E19" s="46" t="s">
        <v>117</v>
      </c>
      <c r="F19" s="47" t="s">
        <v>8</v>
      </c>
      <c r="G19" s="39"/>
      <c r="H19" s="47"/>
      <c r="I19" s="120"/>
      <c r="J19" s="47"/>
      <c r="K19" s="120"/>
      <c r="L19" s="114"/>
      <c r="M19" s="121">
        <v>46054.0</v>
      </c>
      <c r="N19" s="122">
        <v>1.0</v>
      </c>
      <c r="O19" s="123">
        <f t="shared" si="1"/>
        <v>46082</v>
      </c>
      <c r="P19" s="124"/>
      <c r="Q19" s="39" t="b">
        <v>1</v>
      </c>
      <c r="R19" s="39" t="b">
        <v>0</v>
      </c>
      <c r="S19" s="39" t="b">
        <v>0</v>
      </c>
      <c r="T19" s="52"/>
      <c r="U19" s="52"/>
      <c r="V19" s="52"/>
      <c r="W19" s="52"/>
      <c r="X19" s="52"/>
      <c r="Y19" s="52"/>
      <c r="Z19" s="52"/>
      <c r="AA19" s="52"/>
      <c r="AB19" s="52"/>
      <c r="AC19" s="52"/>
    </row>
    <row r="20" ht="22.5" customHeight="1">
      <c r="A20" s="40" t="b">
        <v>1</v>
      </c>
      <c r="B20" s="28" t="b">
        <v>0</v>
      </c>
      <c r="C20" s="45" t="s">
        <v>123</v>
      </c>
      <c r="D20" s="32" t="s">
        <v>124</v>
      </c>
      <c r="E20" s="30" t="s">
        <v>109</v>
      </c>
      <c r="F20" s="41" t="s">
        <v>8</v>
      </c>
      <c r="G20" s="40" t="b">
        <v>1</v>
      </c>
      <c r="H20" s="41" t="s">
        <v>8</v>
      </c>
      <c r="I20" s="40" t="b">
        <v>1</v>
      </c>
      <c r="J20" s="41" t="s">
        <v>8</v>
      </c>
      <c r="K20" s="40" t="b">
        <v>1</v>
      </c>
      <c r="L20" s="32"/>
      <c r="M20" s="91">
        <v>46043.0</v>
      </c>
      <c r="N20" s="92">
        <v>4.0</v>
      </c>
      <c r="O20" s="91">
        <f t="shared" si="1"/>
        <v>46163</v>
      </c>
      <c r="P20" s="53"/>
      <c r="Q20" s="37"/>
      <c r="R20" s="38" t="b">
        <v>0</v>
      </c>
      <c r="S20" s="39" t="b">
        <v>0</v>
      </c>
    </row>
    <row r="21" ht="22.5" customHeight="1">
      <c r="A21" s="40"/>
      <c r="B21" s="28" t="b">
        <v>0</v>
      </c>
      <c r="C21" s="29"/>
      <c r="D21" s="32"/>
      <c r="E21" s="30"/>
      <c r="F21" s="41"/>
      <c r="G21" s="40"/>
      <c r="H21" s="41"/>
      <c r="I21" s="40"/>
      <c r="J21" s="41"/>
      <c r="K21" s="40"/>
      <c r="L21" s="32"/>
      <c r="M21" s="91"/>
      <c r="N21" s="92"/>
      <c r="O21" s="91" t="str">
        <f t="shared" si="1"/>
        <v/>
      </c>
      <c r="P21" s="79"/>
      <c r="Q21" s="37"/>
      <c r="R21" s="38" t="b">
        <v>0</v>
      </c>
      <c r="S21" s="39" t="b">
        <v>0</v>
      </c>
    </row>
    <row r="22" ht="22.5" customHeight="1">
      <c r="A22" s="40"/>
      <c r="B22" s="28" t="b">
        <v>0</v>
      </c>
      <c r="C22" s="29"/>
      <c r="D22" s="32"/>
      <c r="E22" s="30"/>
      <c r="F22" s="41"/>
      <c r="G22" s="40"/>
      <c r="H22" s="41"/>
      <c r="I22" s="40"/>
      <c r="J22" s="41"/>
      <c r="K22" s="40"/>
      <c r="L22" s="32"/>
      <c r="M22" s="91"/>
      <c r="N22" s="92"/>
      <c r="O22" s="91" t="str">
        <f t="shared" si="1"/>
        <v/>
      </c>
      <c r="P22" s="79"/>
      <c r="Q22" s="37"/>
      <c r="R22" s="38" t="b">
        <v>0</v>
      </c>
      <c r="S22" s="39" t="b">
        <v>0</v>
      </c>
    </row>
    <row r="23" ht="22.5" customHeight="1">
      <c r="A23" s="40" t="b">
        <v>0</v>
      </c>
      <c r="B23" s="28" t="b">
        <v>0</v>
      </c>
      <c r="C23" s="29"/>
      <c r="D23" s="32"/>
      <c r="E23" s="30"/>
      <c r="F23" s="41"/>
      <c r="G23" s="40"/>
      <c r="H23" s="41"/>
      <c r="I23" s="40"/>
      <c r="J23" s="41"/>
      <c r="K23" s="40"/>
      <c r="L23" s="32"/>
      <c r="M23" s="91"/>
      <c r="N23" s="92"/>
      <c r="O23" s="91" t="str">
        <f t="shared" si="1"/>
        <v/>
      </c>
      <c r="P23" s="79"/>
      <c r="Q23" s="37"/>
      <c r="R23" s="38" t="b">
        <v>0</v>
      </c>
      <c r="S23" s="39" t="b">
        <v>0</v>
      </c>
    </row>
    <row r="24" ht="22.5" customHeight="1">
      <c r="A24" s="40" t="b">
        <v>0</v>
      </c>
      <c r="B24" s="40" t="b">
        <v>0</v>
      </c>
      <c r="C24" s="32"/>
      <c r="D24" s="32"/>
      <c r="E24" s="77"/>
      <c r="F24" s="90"/>
      <c r="G24" s="40" t="b">
        <v>0</v>
      </c>
      <c r="H24" s="90"/>
      <c r="I24" s="40" t="b">
        <v>0</v>
      </c>
      <c r="J24" s="90"/>
      <c r="K24" s="40" t="b">
        <v>0</v>
      </c>
      <c r="L24" s="32"/>
      <c r="M24" s="91"/>
      <c r="N24" s="92"/>
      <c r="O24" s="91" t="str">
        <f t="shared" si="1"/>
        <v/>
      </c>
      <c r="P24" s="79"/>
      <c r="Q24" s="80" t="b">
        <v>0</v>
      </c>
      <c r="R24" s="81" t="b">
        <v>0</v>
      </c>
      <c r="S24" s="82" t="b">
        <v>0</v>
      </c>
    </row>
    <row r="25" ht="22.5" customHeight="1">
      <c r="A25" s="40" t="b">
        <v>0</v>
      </c>
      <c r="B25" s="40" t="b">
        <v>0</v>
      </c>
      <c r="C25" s="32"/>
      <c r="D25" s="32"/>
      <c r="E25" s="77"/>
      <c r="F25" s="90"/>
      <c r="G25" s="40" t="b">
        <v>0</v>
      </c>
      <c r="H25" s="90"/>
      <c r="I25" s="40" t="b">
        <v>0</v>
      </c>
      <c r="J25" s="90"/>
      <c r="K25" s="40" t="b">
        <v>0</v>
      </c>
      <c r="L25" s="32"/>
      <c r="M25" s="91"/>
      <c r="N25" s="92"/>
      <c r="O25" s="91" t="str">
        <f t="shared" si="1"/>
        <v/>
      </c>
      <c r="P25" s="79"/>
      <c r="Q25" s="80" t="b">
        <v>0</v>
      </c>
      <c r="R25" s="81" t="b">
        <v>0</v>
      </c>
      <c r="S25" s="82" t="b">
        <v>0</v>
      </c>
    </row>
    <row r="26" ht="22.5" customHeight="1">
      <c r="A26" s="40" t="b">
        <v>0</v>
      </c>
      <c r="B26" s="40" t="b">
        <v>0</v>
      </c>
      <c r="C26" s="32"/>
      <c r="D26" s="32"/>
      <c r="E26" s="77"/>
      <c r="F26" s="90"/>
      <c r="G26" s="40" t="b">
        <v>0</v>
      </c>
      <c r="H26" s="90"/>
      <c r="I26" s="40" t="b">
        <v>0</v>
      </c>
      <c r="J26" s="90"/>
      <c r="K26" s="40" t="b">
        <v>0</v>
      </c>
      <c r="L26" s="32"/>
      <c r="M26" s="91"/>
      <c r="N26" s="92"/>
      <c r="O26" s="91" t="str">
        <f t="shared" si="1"/>
        <v/>
      </c>
      <c r="P26" s="79"/>
      <c r="Q26" s="80" t="b">
        <v>0</v>
      </c>
      <c r="R26" s="81" t="b">
        <v>0</v>
      </c>
      <c r="S26" s="82" t="b">
        <v>0</v>
      </c>
    </row>
    <row r="27" ht="22.5" customHeight="1">
      <c r="A27" s="40" t="b">
        <v>0</v>
      </c>
      <c r="B27" s="40" t="b">
        <v>0</v>
      </c>
      <c r="C27" s="32"/>
      <c r="D27" s="32"/>
      <c r="E27" s="77"/>
      <c r="F27" s="90"/>
      <c r="G27" s="40" t="b">
        <v>0</v>
      </c>
      <c r="H27" s="90"/>
      <c r="I27" s="40" t="b">
        <v>0</v>
      </c>
      <c r="J27" s="90"/>
      <c r="K27" s="40" t="b">
        <v>0</v>
      </c>
      <c r="L27" s="32"/>
      <c r="M27" s="91"/>
      <c r="N27" s="92"/>
      <c r="O27" s="91" t="str">
        <f t="shared" si="1"/>
        <v/>
      </c>
      <c r="P27" s="79"/>
      <c r="Q27" s="80" t="b">
        <v>0</v>
      </c>
      <c r="R27" s="81" t="b">
        <v>0</v>
      </c>
      <c r="S27" s="82" t="b">
        <v>0</v>
      </c>
    </row>
    <row r="28" ht="22.5" customHeight="1">
      <c r="A28" s="40" t="b">
        <v>0</v>
      </c>
      <c r="B28" s="40" t="b">
        <v>0</v>
      </c>
      <c r="C28" s="32"/>
      <c r="D28" s="32"/>
      <c r="E28" s="77"/>
      <c r="F28" s="90"/>
      <c r="G28" s="40" t="b">
        <v>0</v>
      </c>
      <c r="H28" s="90"/>
      <c r="I28" s="40" t="b">
        <v>0</v>
      </c>
      <c r="J28" s="90"/>
      <c r="K28" s="40" t="b">
        <v>0</v>
      </c>
      <c r="L28" s="32"/>
      <c r="M28" s="91"/>
      <c r="N28" s="92"/>
      <c r="O28" s="91" t="str">
        <f t="shared" si="1"/>
        <v/>
      </c>
      <c r="P28" s="79"/>
      <c r="Q28" s="80" t="b">
        <v>0</v>
      </c>
      <c r="R28" s="81" t="b">
        <v>0</v>
      </c>
      <c r="S28" s="82" t="b">
        <v>0</v>
      </c>
    </row>
    <row r="29" ht="22.5" customHeight="1">
      <c r="A29" s="40" t="b">
        <v>0</v>
      </c>
      <c r="B29" s="40" t="b">
        <v>0</v>
      </c>
      <c r="C29" s="32"/>
      <c r="D29" s="32"/>
      <c r="E29" s="77"/>
      <c r="F29" s="90"/>
      <c r="G29" s="40" t="b">
        <v>0</v>
      </c>
      <c r="H29" s="90"/>
      <c r="I29" s="40" t="b">
        <v>0</v>
      </c>
      <c r="J29" s="90"/>
      <c r="K29" s="40" t="b">
        <v>0</v>
      </c>
      <c r="L29" s="32"/>
      <c r="M29" s="91"/>
      <c r="N29" s="92"/>
      <c r="O29" s="91" t="str">
        <f t="shared" si="1"/>
        <v/>
      </c>
      <c r="P29" s="79"/>
      <c r="Q29" s="80" t="b">
        <v>0</v>
      </c>
      <c r="R29" s="81" t="b">
        <v>0</v>
      </c>
      <c r="S29" s="82" t="b">
        <v>0</v>
      </c>
    </row>
    <row r="30" ht="22.5" customHeight="1">
      <c r="A30" s="40" t="b">
        <v>0</v>
      </c>
      <c r="B30" s="40" t="b">
        <v>0</v>
      </c>
      <c r="C30" s="32"/>
      <c r="D30" s="32"/>
      <c r="E30" s="77"/>
      <c r="F30" s="90"/>
      <c r="G30" s="40" t="b">
        <v>0</v>
      </c>
      <c r="H30" s="90"/>
      <c r="I30" s="40" t="b">
        <v>0</v>
      </c>
      <c r="J30" s="90"/>
      <c r="K30" s="40" t="b">
        <v>0</v>
      </c>
      <c r="L30" s="32"/>
      <c r="M30" s="91"/>
      <c r="N30" s="92"/>
      <c r="O30" s="91" t="str">
        <f t="shared" si="1"/>
        <v/>
      </c>
      <c r="P30" s="79"/>
      <c r="Q30" s="80" t="b">
        <v>0</v>
      </c>
      <c r="R30" s="81" t="b">
        <v>0</v>
      </c>
      <c r="S30" s="82" t="b">
        <v>0</v>
      </c>
    </row>
    <row r="31" ht="22.5" customHeight="1">
      <c r="A31" s="40" t="b">
        <v>0</v>
      </c>
      <c r="B31" s="40" t="b">
        <v>0</v>
      </c>
      <c r="C31" s="32"/>
      <c r="D31" s="32"/>
      <c r="E31" s="77"/>
      <c r="F31" s="90"/>
      <c r="G31" s="40" t="b">
        <v>0</v>
      </c>
      <c r="H31" s="90"/>
      <c r="I31" s="40" t="b">
        <v>0</v>
      </c>
      <c r="J31" s="90"/>
      <c r="K31" s="40" t="b">
        <v>0</v>
      </c>
      <c r="L31" s="32"/>
      <c r="M31" s="91"/>
      <c r="N31" s="92"/>
      <c r="O31" s="91" t="str">
        <f t="shared" si="1"/>
        <v/>
      </c>
      <c r="P31" s="79"/>
      <c r="Q31" s="80" t="b">
        <v>0</v>
      </c>
      <c r="R31" s="81" t="b">
        <v>0</v>
      </c>
      <c r="S31" s="82" t="b">
        <v>0</v>
      </c>
    </row>
    <row r="32" ht="22.5" customHeight="1">
      <c r="A32" s="40" t="b">
        <v>0</v>
      </c>
      <c r="B32" s="40" t="b">
        <v>0</v>
      </c>
      <c r="C32" s="32"/>
      <c r="D32" s="32"/>
      <c r="E32" s="77"/>
      <c r="F32" s="90"/>
      <c r="G32" s="40" t="b">
        <v>0</v>
      </c>
      <c r="H32" s="90"/>
      <c r="I32" s="40" t="b">
        <v>0</v>
      </c>
      <c r="J32" s="90"/>
      <c r="K32" s="40" t="b">
        <v>0</v>
      </c>
      <c r="L32" s="32"/>
      <c r="M32" s="91"/>
      <c r="N32" s="92"/>
      <c r="O32" s="91" t="str">
        <f t="shared" si="1"/>
        <v/>
      </c>
      <c r="P32" s="79"/>
      <c r="Q32" s="80" t="b">
        <v>0</v>
      </c>
      <c r="R32" s="81" t="b">
        <v>0</v>
      </c>
      <c r="S32" s="82" t="b">
        <v>0</v>
      </c>
    </row>
    <row r="33" ht="22.5" customHeight="1">
      <c r="A33" s="40" t="b">
        <v>0</v>
      </c>
      <c r="B33" s="40" t="b">
        <v>0</v>
      </c>
      <c r="C33" s="32"/>
      <c r="D33" s="32"/>
      <c r="E33" s="77"/>
      <c r="F33" s="90"/>
      <c r="G33" s="40" t="b">
        <v>0</v>
      </c>
      <c r="H33" s="90"/>
      <c r="I33" s="40" t="b">
        <v>0</v>
      </c>
      <c r="J33" s="90"/>
      <c r="K33" s="40" t="b">
        <v>0</v>
      </c>
      <c r="L33" s="32"/>
      <c r="M33" s="91"/>
      <c r="N33" s="92"/>
      <c r="O33" s="91" t="str">
        <f t="shared" si="1"/>
        <v/>
      </c>
      <c r="P33" s="79"/>
      <c r="Q33" s="80" t="b">
        <v>0</v>
      </c>
      <c r="R33" s="81" t="b">
        <v>0</v>
      </c>
      <c r="S33" s="82" t="b">
        <v>0</v>
      </c>
    </row>
    <row r="34" ht="22.5" customHeight="1">
      <c r="A34" s="40" t="b">
        <v>0</v>
      </c>
      <c r="B34" s="40" t="b">
        <v>0</v>
      </c>
      <c r="C34" s="32"/>
      <c r="D34" s="32"/>
      <c r="E34" s="77"/>
      <c r="F34" s="90"/>
      <c r="G34" s="40" t="b">
        <v>0</v>
      </c>
      <c r="H34" s="90"/>
      <c r="I34" s="40" t="b">
        <v>0</v>
      </c>
      <c r="J34" s="90"/>
      <c r="K34" s="40" t="b">
        <v>0</v>
      </c>
      <c r="L34" s="32"/>
      <c r="M34" s="91"/>
      <c r="N34" s="92"/>
      <c r="O34" s="91" t="str">
        <f t="shared" si="1"/>
        <v/>
      </c>
      <c r="P34" s="79"/>
      <c r="Q34" s="80" t="b">
        <v>0</v>
      </c>
      <c r="R34" s="81" t="b">
        <v>0</v>
      </c>
      <c r="S34" s="82" t="b">
        <v>0</v>
      </c>
    </row>
    <row r="35" ht="22.5" customHeight="1">
      <c r="A35" s="40" t="b">
        <v>0</v>
      </c>
      <c r="B35" s="40" t="b">
        <v>0</v>
      </c>
      <c r="C35" s="32"/>
      <c r="D35" s="32"/>
      <c r="E35" s="77"/>
      <c r="F35" s="90"/>
      <c r="G35" s="40" t="b">
        <v>0</v>
      </c>
      <c r="H35" s="90"/>
      <c r="I35" s="40" t="b">
        <v>0</v>
      </c>
      <c r="J35" s="90"/>
      <c r="K35" s="40" t="b">
        <v>0</v>
      </c>
      <c r="L35" s="32"/>
      <c r="M35" s="91"/>
      <c r="N35" s="92"/>
      <c r="O35" s="91" t="str">
        <f t="shared" si="1"/>
        <v/>
      </c>
      <c r="P35" s="79"/>
      <c r="Q35" s="80" t="b">
        <v>0</v>
      </c>
      <c r="R35" s="81" t="b">
        <v>0</v>
      </c>
      <c r="S35" s="82" t="b">
        <v>0</v>
      </c>
    </row>
    <row r="36" ht="22.5" customHeight="1">
      <c r="A36" s="40" t="b">
        <v>0</v>
      </c>
      <c r="B36" s="40" t="b">
        <v>0</v>
      </c>
      <c r="C36" s="32"/>
      <c r="D36" s="32"/>
      <c r="E36" s="77"/>
      <c r="F36" s="90"/>
      <c r="G36" s="40" t="b">
        <v>0</v>
      </c>
      <c r="H36" s="90"/>
      <c r="I36" s="40" t="b">
        <v>0</v>
      </c>
      <c r="J36" s="90"/>
      <c r="K36" s="40" t="b">
        <v>0</v>
      </c>
      <c r="L36" s="32"/>
      <c r="M36" s="91"/>
      <c r="N36" s="92"/>
      <c r="O36" s="91" t="str">
        <f t="shared" si="1"/>
        <v/>
      </c>
      <c r="P36" s="79"/>
      <c r="Q36" s="80" t="b">
        <v>0</v>
      </c>
      <c r="R36" s="81" t="b">
        <v>0</v>
      </c>
      <c r="S36" s="82" t="b">
        <v>0</v>
      </c>
    </row>
    <row r="37" ht="22.5" customHeight="1">
      <c r="A37" s="40" t="b">
        <v>0</v>
      </c>
      <c r="B37" s="40" t="b">
        <v>0</v>
      </c>
      <c r="C37" s="32"/>
      <c r="D37" s="32"/>
      <c r="E37" s="77"/>
      <c r="F37" s="90"/>
      <c r="G37" s="40" t="b">
        <v>0</v>
      </c>
      <c r="H37" s="90"/>
      <c r="I37" s="40" t="b">
        <v>0</v>
      </c>
      <c r="J37" s="90"/>
      <c r="K37" s="40" t="b">
        <v>0</v>
      </c>
      <c r="L37" s="32"/>
      <c r="M37" s="91"/>
      <c r="N37" s="92"/>
      <c r="O37" s="91" t="str">
        <f t="shared" si="1"/>
        <v/>
      </c>
      <c r="P37" s="79"/>
      <c r="Q37" s="80" t="b">
        <v>0</v>
      </c>
      <c r="R37" s="81" t="b">
        <v>0</v>
      </c>
      <c r="S37" s="82" t="b">
        <v>0</v>
      </c>
    </row>
    <row r="38" ht="22.5" customHeight="1">
      <c r="A38" s="40" t="b">
        <v>0</v>
      </c>
      <c r="B38" s="40" t="b">
        <v>0</v>
      </c>
      <c r="C38" s="32"/>
      <c r="D38" s="32"/>
      <c r="E38" s="77"/>
      <c r="F38" s="90"/>
      <c r="G38" s="40" t="b">
        <v>0</v>
      </c>
      <c r="H38" s="90"/>
      <c r="I38" s="40" t="b">
        <v>0</v>
      </c>
      <c r="J38" s="90"/>
      <c r="K38" s="40" t="b">
        <v>0</v>
      </c>
      <c r="L38" s="32"/>
      <c r="M38" s="91"/>
      <c r="N38" s="92"/>
      <c r="O38" s="91" t="str">
        <f t="shared" si="1"/>
        <v/>
      </c>
      <c r="P38" s="79"/>
      <c r="Q38" s="80" t="b">
        <v>0</v>
      </c>
      <c r="R38" s="81" t="b">
        <v>0</v>
      </c>
      <c r="S38" s="82" t="b">
        <v>0</v>
      </c>
    </row>
    <row r="39" ht="22.5" customHeight="1">
      <c r="A39" s="40" t="b">
        <v>0</v>
      </c>
      <c r="B39" s="40" t="b">
        <v>0</v>
      </c>
      <c r="C39" s="32"/>
      <c r="D39" s="32"/>
      <c r="E39" s="77"/>
      <c r="F39" s="90"/>
      <c r="G39" s="40" t="b">
        <v>0</v>
      </c>
      <c r="H39" s="90"/>
      <c r="I39" s="40" t="b">
        <v>0</v>
      </c>
      <c r="J39" s="90"/>
      <c r="K39" s="40" t="b">
        <v>0</v>
      </c>
      <c r="L39" s="32"/>
      <c r="M39" s="91"/>
      <c r="N39" s="92"/>
      <c r="O39" s="91" t="str">
        <f t="shared" si="1"/>
        <v/>
      </c>
      <c r="P39" s="79"/>
      <c r="Q39" s="80" t="b">
        <v>0</v>
      </c>
      <c r="R39" s="81" t="b">
        <v>0</v>
      </c>
      <c r="S39" s="82" t="b">
        <v>0</v>
      </c>
    </row>
    <row r="40" ht="22.5" customHeight="1">
      <c r="A40" s="40" t="b">
        <v>0</v>
      </c>
      <c r="B40" s="40" t="b">
        <v>0</v>
      </c>
      <c r="C40" s="32"/>
      <c r="D40" s="32"/>
      <c r="E40" s="77"/>
      <c r="F40" s="90"/>
      <c r="G40" s="40" t="b">
        <v>0</v>
      </c>
      <c r="H40" s="90"/>
      <c r="I40" s="40" t="b">
        <v>0</v>
      </c>
      <c r="J40" s="90"/>
      <c r="K40" s="40" t="b">
        <v>0</v>
      </c>
      <c r="L40" s="32"/>
      <c r="M40" s="91"/>
      <c r="N40" s="92"/>
      <c r="O40" s="91" t="str">
        <f t="shared" si="1"/>
        <v/>
      </c>
      <c r="P40" s="79"/>
      <c r="Q40" s="80" t="b">
        <v>0</v>
      </c>
      <c r="R40" s="81" t="b">
        <v>0</v>
      </c>
      <c r="S40" s="82" t="b">
        <v>0</v>
      </c>
    </row>
    <row r="41" ht="22.5" customHeight="1">
      <c r="A41" s="40" t="b">
        <v>0</v>
      </c>
      <c r="B41" s="40" t="b">
        <v>0</v>
      </c>
      <c r="C41" s="32"/>
      <c r="D41" s="32"/>
      <c r="E41" s="77"/>
      <c r="F41" s="90"/>
      <c r="G41" s="40" t="b">
        <v>0</v>
      </c>
      <c r="H41" s="90"/>
      <c r="I41" s="40" t="b">
        <v>0</v>
      </c>
      <c r="J41" s="90"/>
      <c r="K41" s="40" t="b">
        <v>0</v>
      </c>
      <c r="L41" s="32"/>
      <c r="M41" s="91"/>
      <c r="N41" s="92"/>
      <c r="O41" s="91" t="str">
        <f t="shared" si="1"/>
        <v/>
      </c>
      <c r="P41" s="79"/>
      <c r="Q41" s="80" t="b">
        <v>0</v>
      </c>
      <c r="R41" s="81" t="b">
        <v>0</v>
      </c>
      <c r="S41" s="82" t="b">
        <v>0</v>
      </c>
    </row>
    <row r="42" ht="22.5" customHeight="1">
      <c r="A42" s="40" t="b">
        <v>0</v>
      </c>
      <c r="B42" s="40" t="b">
        <v>0</v>
      </c>
      <c r="C42" s="32"/>
      <c r="D42" s="32"/>
      <c r="E42" s="77"/>
      <c r="F42" s="90"/>
      <c r="G42" s="40" t="b">
        <v>0</v>
      </c>
      <c r="H42" s="90"/>
      <c r="I42" s="40" t="b">
        <v>0</v>
      </c>
      <c r="J42" s="90"/>
      <c r="K42" s="40" t="b">
        <v>0</v>
      </c>
      <c r="L42" s="32"/>
      <c r="M42" s="91"/>
      <c r="N42" s="92"/>
      <c r="O42" s="91" t="str">
        <f t="shared" si="1"/>
        <v/>
      </c>
      <c r="P42" s="79"/>
      <c r="Q42" s="80" t="b">
        <v>0</v>
      </c>
      <c r="R42" s="81" t="b">
        <v>0</v>
      </c>
      <c r="S42" s="82" t="b">
        <v>0</v>
      </c>
    </row>
    <row r="43" ht="22.5" customHeight="1">
      <c r="A43" s="40" t="b">
        <v>0</v>
      </c>
      <c r="B43" s="40" t="b">
        <v>0</v>
      </c>
      <c r="C43" s="32"/>
      <c r="D43" s="32"/>
      <c r="E43" s="77"/>
      <c r="F43" s="90"/>
      <c r="G43" s="40" t="b">
        <v>0</v>
      </c>
      <c r="H43" s="90"/>
      <c r="I43" s="40" t="b">
        <v>0</v>
      </c>
      <c r="J43" s="90"/>
      <c r="K43" s="40" t="b">
        <v>0</v>
      </c>
      <c r="L43" s="32"/>
      <c r="M43" s="91"/>
      <c r="N43" s="92"/>
      <c r="O43" s="91" t="str">
        <f t="shared" si="1"/>
        <v/>
      </c>
      <c r="P43" s="79"/>
      <c r="Q43" s="80" t="b">
        <v>0</v>
      </c>
      <c r="R43" s="81" t="b">
        <v>0</v>
      </c>
      <c r="S43" s="82" t="b">
        <v>0</v>
      </c>
    </row>
    <row r="44" ht="22.5" customHeight="1">
      <c r="A44" s="40" t="b">
        <v>0</v>
      </c>
      <c r="B44" s="40" t="b">
        <v>0</v>
      </c>
      <c r="C44" s="32"/>
      <c r="D44" s="32"/>
      <c r="E44" s="77"/>
      <c r="F44" s="90"/>
      <c r="G44" s="40" t="b">
        <v>0</v>
      </c>
      <c r="H44" s="90"/>
      <c r="I44" s="40" t="b">
        <v>0</v>
      </c>
      <c r="J44" s="90"/>
      <c r="K44" s="40" t="b">
        <v>0</v>
      </c>
      <c r="L44" s="32"/>
      <c r="M44" s="91"/>
      <c r="N44" s="92"/>
      <c r="O44" s="91" t="str">
        <f t="shared" si="1"/>
        <v/>
      </c>
      <c r="P44" s="79"/>
      <c r="Q44" s="80" t="b">
        <v>0</v>
      </c>
      <c r="R44" s="81" t="b">
        <v>0</v>
      </c>
      <c r="S44" s="82" t="b">
        <v>0</v>
      </c>
    </row>
    <row r="45" ht="22.5" customHeight="1">
      <c r="A45" s="40" t="b">
        <v>0</v>
      </c>
      <c r="B45" s="40" t="b">
        <v>0</v>
      </c>
      <c r="C45" s="32"/>
      <c r="D45" s="32"/>
      <c r="E45" s="77"/>
      <c r="F45" s="90"/>
      <c r="G45" s="40" t="b">
        <v>0</v>
      </c>
      <c r="H45" s="90"/>
      <c r="I45" s="40" t="b">
        <v>0</v>
      </c>
      <c r="J45" s="90"/>
      <c r="K45" s="40" t="b">
        <v>0</v>
      </c>
      <c r="L45" s="32"/>
      <c r="M45" s="91"/>
      <c r="N45" s="92"/>
      <c r="O45" s="91" t="str">
        <f t="shared" si="1"/>
        <v/>
      </c>
      <c r="P45" s="79"/>
      <c r="Q45" s="80" t="b">
        <v>0</v>
      </c>
      <c r="R45" s="81" t="b">
        <v>0</v>
      </c>
      <c r="S45" s="82" t="b">
        <v>0</v>
      </c>
    </row>
    <row r="46" ht="22.5" customHeight="1">
      <c r="A46" s="40" t="b">
        <v>0</v>
      </c>
      <c r="B46" s="40" t="b">
        <v>0</v>
      </c>
      <c r="C46" s="32"/>
      <c r="D46" s="32"/>
      <c r="E46" s="77"/>
      <c r="F46" s="90"/>
      <c r="G46" s="40" t="b">
        <v>0</v>
      </c>
      <c r="H46" s="90"/>
      <c r="I46" s="40" t="b">
        <v>0</v>
      </c>
      <c r="J46" s="90"/>
      <c r="K46" s="40" t="b">
        <v>0</v>
      </c>
      <c r="L46" s="32"/>
      <c r="M46" s="91"/>
      <c r="N46" s="92"/>
      <c r="O46" s="91" t="str">
        <f t="shared" si="1"/>
        <v/>
      </c>
      <c r="P46" s="79"/>
      <c r="Q46" s="80" t="b">
        <v>0</v>
      </c>
      <c r="R46" s="81" t="b">
        <v>0</v>
      </c>
      <c r="S46" s="82" t="b">
        <v>0</v>
      </c>
    </row>
    <row r="47" ht="22.5" customHeight="1">
      <c r="A47" s="40" t="b">
        <v>0</v>
      </c>
      <c r="B47" s="40" t="b">
        <v>0</v>
      </c>
      <c r="C47" s="32"/>
      <c r="D47" s="32"/>
      <c r="E47" s="77"/>
      <c r="F47" s="90"/>
      <c r="G47" s="40" t="b">
        <v>0</v>
      </c>
      <c r="H47" s="90"/>
      <c r="I47" s="40" t="b">
        <v>0</v>
      </c>
      <c r="J47" s="90"/>
      <c r="K47" s="40" t="b">
        <v>0</v>
      </c>
      <c r="L47" s="32"/>
      <c r="M47" s="91"/>
      <c r="N47" s="92"/>
      <c r="O47" s="91" t="str">
        <f t="shared" si="1"/>
        <v/>
      </c>
      <c r="P47" s="79"/>
      <c r="Q47" s="80" t="b">
        <v>0</v>
      </c>
      <c r="R47" s="81" t="b">
        <v>0</v>
      </c>
      <c r="S47" s="82" t="b">
        <v>0</v>
      </c>
    </row>
    <row r="48" ht="22.5" customHeight="1">
      <c r="A48" s="40" t="b">
        <v>0</v>
      </c>
      <c r="B48" s="40" t="b">
        <v>0</v>
      </c>
      <c r="C48" s="32"/>
      <c r="D48" s="32"/>
      <c r="E48" s="77"/>
      <c r="F48" s="90"/>
      <c r="G48" s="40" t="b">
        <v>0</v>
      </c>
      <c r="H48" s="90"/>
      <c r="I48" s="40" t="b">
        <v>0</v>
      </c>
      <c r="J48" s="90"/>
      <c r="K48" s="40" t="b">
        <v>0</v>
      </c>
      <c r="L48" s="32"/>
      <c r="M48" s="91"/>
      <c r="N48" s="92"/>
      <c r="O48" s="91" t="str">
        <f t="shared" si="1"/>
        <v/>
      </c>
      <c r="P48" s="79"/>
      <c r="Q48" s="80" t="b">
        <v>0</v>
      </c>
      <c r="R48" s="81" t="b">
        <v>0</v>
      </c>
      <c r="S48" s="82" t="b">
        <v>0</v>
      </c>
    </row>
    <row r="49" ht="22.5" customHeight="1">
      <c r="A49" s="40" t="b">
        <v>0</v>
      </c>
      <c r="B49" s="40" t="b">
        <v>0</v>
      </c>
      <c r="C49" s="32"/>
      <c r="D49" s="32"/>
      <c r="E49" s="77"/>
      <c r="F49" s="90"/>
      <c r="G49" s="40" t="b">
        <v>0</v>
      </c>
      <c r="H49" s="90"/>
      <c r="I49" s="40" t="b">
        <v>0</v>
      </c>
      <c r="J49" s="90"/>
      <c r="K49" s="40" t="b">
        <v>0</v>
      </c>
      <c r="L49" s="32"/>
      <c r="M49" s="91"/>
      <c r="N49" s="92"/>
      <c r="O49" s="91" t="str">
        <f t="shared" si="1"/>
        <v/>
      </c>
      <c r="P49" s="79"/>
      <c r="Q49" s="80" t="b">
        <v>0</v>
      </c>
      <c r="R49" s="81" t="b">
        <v>0</v>
      </c>
      <c r="S49" s="82" t="b">
        <v>0</v>
      </c>
    </row>
    <row r="50" ht="22.5" customHeight="1">
      <c r="A50" s="40" t="b">
        <v>0</v>
      </c>
      <c r="B50" s="40" t="b">
        <v>0</v>
      </c>
      <c r="C50" s="32"/>
      <c r="D50" s="32"/>
      <c r="E50" s="77"/>
      <c r="F50" s="90"/>
      <c r="G50" s="40" t="b">
        <v>0</v>
      </c>
      <c r="H50" s="90"/>
      <c r="I50" s="40" t="b">
        <v>0</v>
      </c>
      <c r="J50" s="90"/>
      <c r="K50" s="40" t="b">
        <v>0</v>
      </c>
      <c r="L50" s="32"/>
      <c r="M50" s="91"/>
      <c r="N50" s="92"/>
      <c r="O50" s="91" t="str">
        <f t="shared" si="1"/>
        <v/>
      </c>
      <c r="P50" s="79"/>
      <c r="Q50" s="80" t="b">
        <v>0</v>
      </c>
      <c r="R50" s="81" t="b">
        <v>0</v>
      </c>
      <c r="S50" s="82" t="b">
        <v>0</v>
      </c>
    </row>
    <row r="51" ht="22.5" customHeight="1">
      <c r="A51" s="40" t="b">
        <v>0</v>
      </c>
      <c r="B51" s="40" t="b">
        <v>0</v>
      </c>
      <c r="C51" s="32"/>
      <c r="D51" s="32"/>
      <c r="E51" s="77"/>
      <c r="F51" s="90"/>
      <c r="G51" s="40" t="b">
        <v>0</v>
      </c>
      <c r="H51" s="90"/>
      <c r="I51" s="40" t="b">
        <v>0</v>
      </c>
      <c r="J51" s="90"/>
      <c r="K51" s="40" t="b">
        <v>0</v>
      </c>
      <c r="L51" s="32"/>
      <c r="M51" s="91"/>
      <c r="N51" s="92"/>
      <c r="O51" s="91" t="str">
        <f t="shared" si="1"/>
        <v/>
      </c>
      <c r="P51" s="79"/>
      <c r="Q51" s="80" t="b">
        <v>0</v>
      </c>
      <c r="R51" s="81" t="b">
        <v>0</v>
      </c>
      <c r="S51" s="82" t="b">
        <v>0</v>
      </c>
    </row>
    <row r="52" ht="22.5" customHeight="1">
      <c r="A52" s="40" t="b">
        <v>0</v>
      </c>
      <c r="B52" s="40" t="b">
        <v>0</v>
      </c>
      <c r="C52" s="32"/>
      <c r="D52" s="32"/>
      <c r="E52" s="77"/>
      <c r="F52" s="90"/>
      <c r="G52" s="40" t="b">
        <v>0</v>
      </c>
      <c r="H52" s="90"/>
      <c r="I52" s="40" t="b">
        <v>0</v>
      </c>
      <c r="J52" s="90"/>
      <c r="K52" s="40" t="b">
        <v>0</v>
      </c>
      <c r="L52" s="32"/>
      <c r="M52" s="91"/>
      <c r="N52" s="92"/>
      <c r="O52" s="91" t="str">
        <f t="shared" si="1"/>
        <v/>
      </c>
      <c r="P52" s="79"/>
      <c r="Q52" s="80" t="b">
        <v>0</v>
      </c>
      <c r="R52" s="81" t="b">
        <v>0</v>
      </c>
      <c r="S52" s="82" t="b">
        <v>0</v>
      </c>
    </row>
    <row r="53" ht="22.5" customHeight="1">
      <c r="A53" s="40" t="b">
        <v>0</v>
      </c>
      <c r="B53" s="40" t="b">
        <v>0</v>
      </c>
      <c r="C53" s="32"/>
      <c r="D53" s="32"/>
      <c r="E53" s="77"/>
      <c r="F53" s="90"/>
      <c r="G53" s="40" t="b">
        <v>0</v>
      </c>
      <c r="H53" s="90"/>
      <c r="I53" s="40" t="b">
        <v>0</v>
      </c>
      <c r="J53" s="90"/>
      <c r="K53" s="40" t="b">
        <v>0</v>
      </c>
      <c r="L53" s="32"/>
      <c r="M53" s="91"/>
      <c r="N53" s="92"/>
      <c r="O53" s="91" t="str">
        <f t="shared" si="1"/>
        <v/>
      </c>
      <c r="P53" s="79"/>
      <c r="Q53" s="80" t="b">
        <v>0</v>
      </c>
      <c r="R53" s="81" t="b">
        <v>0</v>
      </c>
      <c r="S53" s="82" t="b">
        <v>0</v>
      </c>
    </row>
    <row r="54" ht="22.5" customHeight="1">
      <c r="A54" s="40" t="b">
        <v>0</v>
      </c>
      <c r="B54" s="40" t="b">
        <v>0</v>
      </c>
      <c r="C54" s="32"/>
      <c r="D54" s="32"/>
      <c r="E54" s="77"/>
      <c r="F54" s="90"/>
      <c r="G54" s="40" t="b">
        <v>0</v>
      </c>
      <c r="H54" s="90"/>
      <c r="I54" s="40" t="b">
        <v>0</v>
      </c>
      <c r="J54" s="90"/>
      <c r="K54" s="40" t="b">
        <v>0</v>
      </c>
      <c r="L54" s="32"/>
      <c r="M54" s="91"/>
      <c r="N54" s="92"/>
      <c r="O54" s="91" t="str">
        <f t="shared" si="1"/>
        <v/>
      </c>
      <c r="P54" s="79"/>
      <c r="Q54" s="80" t="b">
        <v>0</v>
      </c>
      <c r="R54" s="81" t="b">
        <v>0</v>
      </c>
      <c r="S54" s="82" t="b">
        <v>0</v>
      </c>
    </row>
    <row r="55" ht="22.5" customHeight="1">
      <c r="A55" s="40" t="b">
        <v>0</v>
      </c>
      <c r="B55" s="40" t="b">
        <v>0</v>
      </c>
      <c r="C55" s="32"/>
      <c r="D55" s="32"/>
      <c r="E55" s="77"/>
      <c r="F55" s="90"/>
      <c r="G55" s="40" t="b">
        <v>0</v>
      </c>
      <c r="H55" s="90"/>
      <c r="I55" s="40" t="b">
        <v>0</v>
      </c>
      <c r="J55" s="90"/>
      <c r="K55" s="40" t="b">
        <v>0</v>
      </c>
      <c r="L55" s="32"/>
      <c r="M55" s="91"/>
      <c r="N55" s="92"/>
      <c r="O55" s="91" t="str">
        <f t="shared" si="1"/>
        <v/>
      </c>
      <c r="P55" s="79"/>
      <c r="Q55" s="80" t="b">
        <v>0</v>
      </c>
      <c r="R55" s="81" t="b">
        <v>0</v>
      </c>
      <c r="S55" s="82" t="b">
        <v>0</v>
      </c>
    </row>
    <row r="56" ht="22.5" customHeight="1">
      <c r="A56" s="40" t="b">
        <v>0</v>
      </c>
      <c r="B56" s="40" t="b">
        <v>0</v>
      </c>
      <c r="C56" s="32"/>
      <c r="D56" s="32"/>
      <c r="E56" s="77"/>
      <c r="F56" s="90"/>
      <c r="G56" s="40" t="b">
        <v>0</v>
      </c>
      <c r="H56" s="90"/>
      <c r="I56" s="40" t="b">
        <v>0</v>
      </c>
      <c r="J56" s="90"/>
      <c r="K56" s="40" t="b">
        <v>0</v>
      </c>
      <c r="L56" s="32"/>
      <c r="M56" s="91"/>
      <c r="N56" s="92"/>
      <c r="O56" s="91" t="str">
        <f t="shared" si="1"/>
        <v/>
      </c>
      <c r="P56" s="79"/>
      <c r="Q56" s="80" t="b">
        <v>0</v>
      </c>
      <c r="R56" s="81" t="b">
        <v>0</v>
      </c>
      <c r="S56" s="82" t="b">
        <v>0</v>
      </c>
    </row>
    <row r="57" ht="22.5" customHeight="1">
      <c r="A57" s="40" t="b">
        <v>0</v>
      </c>
      <c r="B57" s="40" t="b">
        <v>0</v>
      </c>
      <c r="C57" s="32"/>
      <c r="D57" s="32"/>
      <c r="E57" s="77"/>
      <c r="F57" s="90"/>
      <c r="G57" s="40" t="b">
        <v>0</v>
      </c>
      <c r="H57" s="90"/>
      <c r="I57" s="40" t="b">
        <v>0</v>
      </c>
      <c r="J57" s="90"/>
      <c r="K57" s="40" t="b">
        <v>0</v>
      </c>
      <c r="L57" s="32"/>
      <c r="M57" s="91"/>
      <c r="N57" s="92"/>
      <c r="O57" s="91" t="str">
        <f t="shared" si="1"/>
        <v/>
      </c>
      <c r="P57" s="79"/>
      <c r="Q57" s="80" t="b">
        <v>0</v>
      </c>
      <c r="R57" s="81" t="b">
        <v>0</v>
      </c>
      <c r="S57" s="82" t="b">
        <v>0</v>
      </c>
    </row>
    <row r="58" ht="22.5" customHeight="1">
      <c r="A58" s="40" t="b">
        <v>0</v>
      </c>
      <c r="B58" s="40" t="b">
        <v>0</v>
      </c>
      <c r="C58" s="32"/>
      <c r="D58" s="32"/>
      <c r="E58" s="77"/>
      <c r="F58" s="90"/>
      <c r="G58" s="40" t="b">
        <v>0</v>
      </c>
      <c r="H58" s="90"/>
      <c r="I58" s="40" t="b">
        <v>0</v>
      </c>
      <c r="J58" s="90"/>
      <c r="K58" s="40" t="b">
        <v>0</v>
      </c>
      <c r="L58" s="32"/>
      <c r="M58" s="91"/>
      <c r="N58" s="92"/>
      <c r="O58" s="91" t="str">
        <f t="shared" si="1"/>
        <v/>
      </c>
      <c r="P58" s="79"/>
      <c r="Q58" s="80" t="b">
        <v>0</v>
      </c>
      <c r="R58" s="81" t="b">
        <v>0</v>
      </c>
      <c r="S58" s="82" t="b">
        <v>0</v>
      </c>
    </row>
    <row r="59" ht="22.5" customHeight="1">
      <c r="A59" s="40" t="b">
        <v>0</v>
      </c>
      <c r="B59" s="40" t="b">
        <v>0</v>
      </c>
      <c r="C59" s="32"/>
      <c r="D59" s="32"/>
      <c r="E59" s="77"/>
      <c r="F59" s="90"/>
      <c r="G59" s="40" t="b">
        <v>0</v>
      </c>
      <c r="H59" s="90"/>
      <c r="I59" s="40" t="b">
        <v>0</v>
      </c>
      <c r="J59" s="90"/>
      <c r="K59" s="40" t="b">
        <v>0</v>
      </c>
      <c r="L59" s="32"/>
      <c r="M59" s="91"/>
      <c r="N59" s="92"/>
      <c r="O59" s="91" t="str">
        <f t="shared" si="1"/>
        <v/>
      </c>
      <c r="P59" s="79"/>
      <c r="Q59" s="80" t="b">
        <v>0</v>
      </c>
      <c r="R59" s="81" t="b">
        <v>0</v>
      </c>
      <c r="S59" s="82" t="b">
        <v>0</v>
      </c>
    </row>
    <row r="60" ht="22.5" customHeight="1">
      <c r="A60" s="40" t="b">
        <v>0</v>
      </c>
      <c r="B60" s="40" t="b">
        <v>0</v>
      </c>
      <c r="C60" s="32"/>
      <c r="D60" s="32"/>
      <c r="E60" s="77"/>
      <c r="F60" s="90"/>
      <c r="G60" s="40" t="b">
        <v>0</v>
      </c>
      <c r="H60" s="90"/>
      <c r="I60" s="40" t="b">
        <v>0</v>
      </c>
      <c r="J60" s="90"/>
      <c r="K60" s="40" t="b">
        <v>0</v>
      </c>
      <c r="L60" s="32"/>
      <c r="M60" s="91"/>
      <c r="N60" s="92"/>
      <c r="O60" s="91" t="str">
        <f t="shared" si="1"/>
        <v/>
      </c>
      <c r="P60" s="79"/>
      <c r="Q60" s="80" t="b">
        <v>0</v>
      </c>
      <c r="R60" s="81" t="b">
        <v>0</v>
      </c>
      <c r="S60" s="82" t="b">
        <v>0</v>
      </c>
    </row>
    <row r="61" ht="22.5" customHeight="1">
      <c r="A61" s="40" t="b">
        <v>0</v>
      </c>
      <c r="B61" s="40" t="b">
        <v>0</v>
      </c>
      <c r="C61" s="32"/>
      <c r="D61" s="32"/>
      <c r="E61" s="77"/>
      <c r="F61" s="90"/>
      <c r="G61" s="40" t="b">
        <v>0</v>
      </c>
      <c r="H61" s="90"/>
      <c r="I61" s="40" t="b">
        <v>0</v>
      </c>
      <c r="J61" s="90"/>
      <c r="K61" s="40" t="b">
        <v>0</v>
      </c>
      <c r="L61" s="32"/>
      <c r="M61" s="91"/>
      <c r="N61" s="92"/>
      <c r="O61" s="91" t="str">
        <f t="shared" si="1"/>
        <v/>
      </c>
      <c r="P61" s="79"/>
      <c r="Q61" s="80" t="b">
        <v>0</v>
      </c>
      <c r="R61" s="81" t="b">
        <v>0</v>
      </c>
      <c r="S61" s="82" t="b">
        <v>0</v>
      </c>
    </row>
    <row r="62" ht="22.5" customHeight="1">
      <c r="A62" s="40" t="b">
        <v>0</v>
      </c>
      <c r="B62" s="40" t="b">
        <v>0</v>
      </c>
      <c r="C62" s="32"/>
      <c r="D62" s="32"/>
      <c r="E62" s="77"/>
      <c r="F62" s="90"/>
      <c r="G62" s="40" t="b">
        <v>0</v>
      </c>
      <c r="H62" s="90"/>
      <c r="I62" s="40" t="b">
        <v>0</v>
      </c>
      <c r="J62" s="90"/>
      <c r="K62" s="40" t="b">
        <v>0</v>
      </c>
      <c r="L62" s="32"/>
      <c r="M62" s="91"/>
      <c r="N62" s="92"/>
      <c r="O62" s="91" t="str">
        <f t="shared" si="1"/>
        <v/>
      </c>
      <c r="P62" s="79"/>
      <c r="Q62" s="80" t="b">
        <v>0</v>
      </c>
      <c r="R62" s="81" t="b">
        <v>0</v>
      </c>
      <c r="S62" s="82" t="b">
        <v>0</v>
      </c>
    </row>
    <row r="63" ht="22.5" customHeight="1">
      <c r="A63" s="40" t="b">
        <v>0</v>
      </c>
      <c r="B63" s="40" t="b">
        <v>0</v>
      </c>
      <c r="C63" s="32"/>
      <c r="D63" s="32"/>
      <c r="E63" s="77"/>
      <c r="F63" s="90"/>
      <c r="G63" s="40" t="b">
        <v>0</v>
      </c>
      <c r="H63" s="90"/>
      <c r="I63" s="40" t="b">
        <v>0</v>
      </c>
      <c r="J63" s="90"/>
      <c r="K63" s="40" t="b">
        <v>0</v>
      </c>
      <c r="L63" s="32"/>
      <c r="M63" s="91"/>
      <c r="N63" s="92"/>
      <c r="O63" s="91" t="str">
        <f t="shared" si="1"/>
        <v/>
      </c>
      <c r="P63" s="79"/>
      <c r="Q63" s="80" t="b">
        <v>0</v>
      </c>
      <c r="R63" s="81" t="b">
        <v>0</v>
      </c>
      <c r="S63" s="82" t="b">
        <v>0</v>
      </c>
    </row>
    <row r="64" ht="22.5" customHeight="1">
      <c r="A64" s="40" t="b">
        <v>0</v>
      </c>
      <c r="B64" s="40" t="b">
        <v>0</v>
      </c>
      <c r="C64" s="32"/>
      <c r="D64" s="32"/>
      <c r="E64" s="77"/>
      <c r="F64" s="90"/>
      <c r="G64" s="40" t="b">
        <v>0</v>
      </c>
      <c r="H64" s="90"/>
      <c r="I64" s="40" t="b">
        <v>0</v>
      </c>
      <c r="J64" s="90"/>
      <c r="K64" s="40" t="b">
        <v>0</v>
      </c>
      <c r="L64" s="32"/>
      <c r="M64" s="91"/>
      <c r="N64" s="92"/>
      <c r="O64" s="91" t="str">
        <f t="shared" si="1"/>
        <v/>
      </c>
      <c r="P64" s="79"/>
      <c r="Q64" s="80" t="b">
        <v>0</v>
      </c>
      <c r="R64" s="81" t="b">
        <v>0</v>
      </c>
      <c r="S64" s="82" t="b">
        <v>0</v>
      </c>
    </row>
    <row r="65" ht="22.5" customHeight="1">
      <c r="A65" s="40" t="b">
        <v>0</v>
      </c>
      <c r="B65" s="40" t="b">
        <v>0</v>
      </c>
      <c r="C65" s="32"/>
      <c r="D65" s="32"/>
      <c r="E65" s="77"/>
      <c r="F65" s="90"/>
      <c r="G65" s="40" t="b">
        <v>0</v>
      </c>
      <c r="H65" s="90"/>
      <c r="I65" s="40" t="b">
        <v>0</v>
      </c>
      <c r="J65" s="90"/>
      <c r="K65" s="40" t="b">
        <v>0</v>
      </c>
      <c r="L65" s="32"/>
      <c r="M65" s="91"/>
      <c r="N65" s="92"/>
      <c r="O65" s="91" t="str">
        <f t="shared" si="1"/>
        <v/>
      </c>
      <c r="P65" s="79"/>
      <c r="Q65" s="80" t="b">
        <v>0</v>
      </c>
      <c r="R65" s="81" t="b">
        <v>0</v>
      </c>
      <c r="S65" s="82" t="b">
        <v>0</v>
      </c>
    </row>
    <row r="66" ht="22.5" customHeight="1">
      <c r="A66" s="40" t="b">
        <v>0</v>
      </c>
      <c r="B66" s="40" t="b">
        <v>0</v>
      </c>
      <c r="C66" s="32"/>
      <c r="D66" s="32"/>
      <c r="E66" s="77"/>
      <c r="F66" s="90"/>
      <c r="G66" s="40" t="b">
        <v>0</v>
      </c>
      <c r="H66" s="90"/>
      <c r="I66" s="40" t="b">
        <v>0</v>
      </c>
      <c r="J66" s="90"/>
      <c r="K66" s="40" t="b">
        <v>0</v>
      </c>
      <c r="L66" s="32"/>
      <c r="M66" s="91"/>
      <c r="N66" s="92"/>
      <c r="O66" s="91" t="str">
        <f t="shared" si="1"/>
        <v/>
      </c>
      <c r="P66" s="79"/>
      <c r="Q66" s="80" t="b">
        <v>0</v>
      </c>
      <c r="R66" s="81" t="b">
        <v>0</v>
      </c>
      <c r="S66" s="82" t="b">
        <v>0</v>
      </c>
    </row>
    <row r="67" ht="22.5" customHeight="1">
      <c r="A67" s="40" t="b">
        <v>0</v>
      </c>
      <c r="B67" s="40" t="b">
        <v>0</v>
      </c>
      <c r="C67" s="32"/>
      <c r="D67" s="32"/>
      <c r="E67" s="77"/>
      <c r="F67" s="90"/>
      <c r="G67" s="40" t="b">
        <v>0</v>
      </c>
      <c r="H67" s="90"/>
      <c r="I67" s="40" t="b">
        <v>0</v>
      </c>
      <c r="J67" s="90"/>
      <c r="K67" s="40" t="b">
        <v>0</v>
      </c>
      <c r="L67" s="32"/>
      <c r="M67" s="91"/>
      <c r="N67" s="92"/>
      <c r="O67" s="91" t="str">
        <f t="shared" si="1"/>
        <v/>
      </c>
      <c r="P67" s="79"/>
      <c r="Q67" s="80" t="b">
        <v>0</v>
      </c>
      <c r="R67" s="81" t="b">
        <v>0</v>
      </c>
      <c r="S67" s="82" t="b">
        <v>0</v>
      </c>
    </row>
    <row r="68" ht="22.5" customHeight="1">
      <c r="A68" s="40" t="b">
        <v>0</v>
      </c>
      <c r="B68" s="40" t="b">
        <v>0</v>
      </c>
      <c r="C68" s="32"/>
      <c r="D68" s="32"/>
      <c r="E68" s="77"/>
      <c r="F68" s="90"/>
      <c r="G68" s="40" t="b">
        <v>0</v>
      </c>
      <c r="H68" s="90"/>
      <c r="I68" s="40" t="b">
        <v>0</v>
      </c>
      <c r="J68" s="90"/>
      <c r="K68" s="40" t="b">
        <v>0</v>
      </c>
      <c r="L68" s="32"/>
      <c r="M68" s="91"/>
      <c r="N68" s="92"/>
      <c r="O68" s="91" t="str">
        <f t="shared" si="1"/>
        <v/>
      </c>
      <c r="P68" s="79"/>
      <c r="Q68" s="80" t="b">
        <v>0</v>
      </c>
      <c r="R68" s="81" t="b">
        <v>0</v>
      </c>
      <c r="S68" s="82" t="b">
        <v>0</v>
      </c>
    </row>
    <row r="69" ht="22.5" customHeight="1">
      <c r="A69" s="40" t="b">
        <v>0</v>
      </c>
      <c r="B69" s="40" t="b">
        <v>0</v>
      </c>
      <c r="C69" s="32"/>
      <c r="D69" s="32"/>
      <c r="E69" s="77"/>
      <c r="F69" s="90"/>
      <c r="G69" s="40" t="b">
        <v>0</v>
      </c>
      <c r="H69" s="90"/>
      <c r="I69" s="40" t="b">
        <v>0</v>
      </c>
      <c r="J69" s="90"/>
      <c r="K69" s="40" t="b">
        <v>0</v>
      </c>
      <c r="L69" s="32"/>
      <c r="M69" s="91"/>
      <c r="N69" s="92"/>
      <c r="O69" s="91" t="str">
        <f t="shared" si="1"/>
        <v/>
      </c>
      <c r="P69" s="79"/>
      <c r="Q69" s="80" t="b">
        <v>0</v>
      </c>
      <c r="R69" s="81" t="b">
        <v>0</v>
      </c>
      <c r="S69" s="82" t="b">
        <v>0</v>
      </c>
    </row>
    <row r="70" ht="22.5" customHeight="1">
      <c r="A70" s="40" t="b">
        <v>0</v>
      </c>
      <c r="B70" s="40" t="b">
        <v>0</v>
      </c>
      <c r="C70" s="32"/>
      <c r="D70" s="32"/>
      <c r="E70" s="77"/>
      <c r="F70" s="90"/>
      <c r="G70" s="40" t="b">
        <v>0</v>
      </c>
      <c r="H70" s="90"/>
      <c r="I70" s="40" t="b">
        <v>0</v>
      </c>
      <c r="J70" s="90"/>
      <c r="K70" s="40" t="b">
        <v>0</v>
      </c>
      <c r="L70" s="32"/>
      <c r="M70" s="91"/>
      <c r="N70" s="92"/>
      <c r="O70" s="91" t="str">
        <f t="shared" si="1"/>
        <v/>
      </c>
      <c r="P70" s="79"/>
      <c r="Q70" s="80" t="b">
        <v>0</v>
      </c>
      <c r="R70" s="81" t="b">
        <v>0</v>
      </c>
      <c r="S70" s="82" t="b">
        <v>0</v>
      </c>
    </row>
    <row r="71" ht="22.5" customHeight="1">
      <c r="A71" s="40" t="b">
        <v>0</v>
      </c>
      <c r="B71" s="40" t="b">
        <v>0</v>
      </c>
      <c r="C71" s="32"/>
      <c r="D71" s="32"/>
      <c r="E71" s="77"/>
      <c r="F71" s="90"/>
      <c r="G71" s="40" t="b">
        <v>0</v>
      </c>
      <c r="H71" s="90"/>
      <c r="I71" s="40" t="b">
        <v>0</v>
      </c>
      <c r="J71" s="90"/>
      <c r="K71" s="40" t="b">
        <v>0</v>
      </c>
      <c r="L71" s="32"/>
      <c r="M71" s="91"/>
      <c r="N71" s="92"/>
      <c r="O71" s="91" t="str">
        <f t="shared" si="1"/>
        <v/>
      </c>
      <c r="P71" s="79"/>
      <c r="Q71" s="80" t="b">
        <v>0</v>
      </c>
      <c r="R71" s="81" t="b">
        <v>0</v>
      </c>
      <c r="S71" s="82" t="b">
        <v>0</v>
      </c>
    </row>
    <row r="72" ht="22.5" customHeight="1">
      <c r="A72" s="40" t="b">
        <v>0</v>
      </c>
      <c r="B72" s="40" t="b">
        <v>0</v>
      </c>
      <c r="C72" s="32"/>
      <c r="D72" s="32"/>
      <c r="E72" s="77"/>
      <c r="F72" s="90"/>
      <c r="G72" s="40" t="b">
        <v>0</v>
      </c>
      <c r="H72" s="90"/>
      <c r="I72" s="40" t="b">
        <v>0</v>
      </c>
      <c r="J72" s="90"/>
      <c r="K72" s="40" t="b">
        <v>0</v>
      </c>
      <c r="L72" s="32"/>
      <c r="M72" s="91"/>
      <c r="N72" s="92"/>
      <c r="O72" s="91" t="str">
        <f t="shared" si="1"/>
        <v/>
      </c>
      <c r="P72" s="79"/>
      <c r="Q72" s="80" t="b">
        <v>0</v>
      </c>
      <c r="R72" s="81" t="b">
        <v>0</v>
      </c>
      <c r="S72" s="82" t="b">
        <v>0</v>
      </c>
    </row>
    <row r="73" ht="22.5" customHeight="1">
      <c r="A73" s="40" t="b">
        <v>0</v>
      </c>
      <c r="B73" s="40" t="b">
        <v>0</v>
      </c>
      <c r="C73" s="32"/>
      <c r="D73" s="32"/>
      <c r="E73" s="77"/>
      <c r="F73" s="90"/>
      <c r="G73" s="40" t="b">
        <v>0</v>
      </c>
      <c r="H73" s="90"/>
      <c r="I73" s="40" t="b">
        <v>0</v>
      </c>
      <c r="J73" s="90"/>
      <c r="K73" s="40" t="b">
        <v>0</v>
      </c>
      <c r="L73" s="32"/>
      <c r="M73" s="91"/>
      <c r="N73" s="92"/>
      <c r="O73" s="91" t="str">
        <f t="shared" si="1"/>
        <v/>
      </c>
      <c r="P73" s="79"/>
      <c r="Q73" s="80" t="b">
        <v>0</v>
      </c>
      <c r="R73" s="81" t="b">
        <v>0</v>
      </c>
      <c r="S73" s="82" t="b">
        <v>0</v>
      </c>
    </row>
    <row r="74" ht="22.5" customHeight="1">
      <c r="A74" s="40" t="b">
        <v>0</v>
      </c>
      <c r="B74" s="40" t="b">
        <v>0</v>
      </c>
      <c r="C74" s="32"/>
      <c r="D74" s="32"/>
      <c r="E74" s="77"/>
      <c r="F74" s="90"/>
      <c r="G74" s="40" t="b">
        <v>0</v>
      </c>
      <c r="H74" s="90"/>
      <c r="I74" s="40" t="b">
        <v>0</v>
      </c>
      <c r="J74" s="90"/>
      <c r="K74" s="40" t="b">
        <v>0</v>
      </c>
      <c r="L74" s="32"/>
      <c r="M74" s="91"/>
      <c r="N74" s="92"/>
      <c r="O74" s="91" t="str">
        <f t="shared" si="1"/>
        <v/>
      </c>
      <c r="P74" s="79"/>
      <c r="Q74" s="80" t="b">
        <v>0</v>
      </c>
      <c r="R74" s="81" t="b">
        <v>0</v>
      </c>
      <c r="S74" s="82" t="b">
        <v>0</v>
      </c>
    </row>
    <row r="75" ht="22.5" customHeight="1">
      <c r="A75" s="40" t="b">
        <v>0</v>
      </c>
      <c r="B75" s="40" t="b">
        <v>0</v>
      </c>
      <c r="C75" s="32"/>
      <c r="D75" s="32"/>
      <c r="E75" s="77"/>
      <c r="F75" s="90"/>
      <c r="G75" s="40" t="b">
        <v>0</v>
      </c>
      <c r="H75" s="90"/>
      <c r="I75" s="40" t="b">
        <v>0</v>
      </c>
      <c r="J75" s="90"/>
      <c r="K75" s="40" t="b">
        <v>0</v>
      </c>
      <c r="L75" s="32"/>
      <c r="M75" s="91"/>
      <c r="N75" s="92"/>
      <c r="O75" s="91" t="str">
        <f t="shared" si="1"/>
        <v/>
      </c>
      <c r="P75" s="79"/>
      <c r="Q75" s="80" t="b">
        <v>0</v>
      </c>
      <c r="R75" s="81" t="b">
        <v>0</v>
      </c>
      <c r="S75" s="82" t="b">
        <v>0</v>
      </c>
    </row>
    <row r="76" ht="22.5" customHeight="1">
      <c r="A76" s="40" t="b">
        <v>0</v>
      </c>
      <c r="B76" s="40" t="b">
        <v>0</v>
      </c>
      <c r="C76" s="32"/>
      <c r="D76" s="32"/>
      <c r="E76" s="77"/>
      <c r="F76" s="90"/>
      <c r="G76" s="40" t="b">
        <v>0</v>
      </c>
      <c r="H76" s="90"/>
      <c r="I76" s="40" t="b">
        <v>0</v>
      </c>
      <c r="J76" s="90"/>
      <c r="K76" s="40" t="b">
        <v>0</v>
      </c>
      <c r="L76" s="32"/>
      <c r="M76" s="91"/>
      <c r="N76" s="92"/>
      <c r="O76" s="91" t="str">
        <f t="shared" si="1"/>
        <v/>
      </c>
      <c r="P76" s="79"/>
      <c r="Q76" s="80" t="b">
        <v>0</v>
      </c>
      <c r="R76" s="81" t="b">
        <v>0</v>
      </c>
      <c r="S76" s="82" t="b">
        <v>0</v>
      </c>
    </row>
    <row r="77" ht="22.5" customHeight="1">
      <c r="A77" s="40" t="b">
        <v>0</v>
      </c>
      <c r="B77" s="40" t="b">
        <v>0</v>
      </c>
      <c r="C77" s="32"/>
      <c r="D77" s="32"/>
      <c r="E77" s="77"/>
      <c r="F77" s="90"/>
      <c r="G77" s="40" t="b">
        <v>0</v>
      </c>
      <c r="H77" s="90"/>
      <c r="I77" s="40" t="b">
        <v>0</v>
      </c>
      <c r="J77" s="90"/>
      <c r="K77" s="40" t="b">
        <v>0</v>
      </c>
      <c r="L77" s="32"/>
      <c r="M77" s="91"/>
      <c r="N77" s="92"/>
      <c r="O77" s="91" t="str">
        <f t="shared" si="1"/>
        <v/>
      </c>
      <c r="P77" s="79"/>
      <c r="Q77" s="80" t="b">
        <v>0</v>
      </c>
      <c r="R77" s="81" t="b">
        <v>0</v>
      </c>
      <c r="S77" s="82" t="b">
        <v>0</v>
      </c>
    </row>
    <row r="78" ht="22.5" customHeight="1">
      <c r="A78" s="40" t="b">
        <v>0</v>
      </c>
      <c r="B78" s="40" t="b">
        <v>0</v>
      </c>
      <c r="C78" s="32"/>
      <c r="D78" s="32"/>
      <c r="E78" s="77"/>
      <c r="F78" s="90"/>
      <c r="G78" s="40" t="b">
        <v>0</v>
      </c>
      <c r="H78" s="90"/>
      <c r="I78" s="40" t="b">
        <v>0</v>
      </c>
      <c r="J78" s="90"/>
      <c r="K78" s="40" t="b">
        <v>0</v>
      </c>
      <c r="L78" s="32"/>
      <c r="M78" s="91"/>
      <c r="N78" s="92"/>
      <c r="O78" s="91" t="str">
        <f t="shared" si="1"/>
        <v/>
      </c>
      <c r="P78" s="79"/>
      <c r="Q78" s="80" t="b">
        <v>0</v>
      </c>
      <c r="R78" s="81" t="b">
        <v>0</v>
      </c>
      <c r="S78" s="82" t="b">
        <v>0</v>
      </c>
    </row>
    <row r="79" ht="22.5" customHeight="1">
      <c r="A79" s="40" t="b">
        <v>0</v>
      </c>
      <c r="B79" s="40" t="b">
        <v>0</v>
      </c>
      <c r="C79" s="32"/>
      <c r="D79" s="32"/>
      <c r="E79" s="77"/>
      <c r="F79" s="90"/>
      <c r="G79" s="40" t="b">
        <v>0</v>
      </c>
      <c r="H79" s="90"/>
      <c r="I79" s="40" t="b">
        <v>0</v>
      </c>
      <c r="J79" s="90"/>
      <c r="K79" s="40" t="b">
        <v>0</v>
      </c>
      <c r="L79" s="32"/>
      <c r="M79" s="91"/>
      <c r="N79" s="92"/>
      <c r="O79" s="91" t="str">
        <f t="shared" si="1"/>
        <v/>
      </c>
      <c r="P79" s="79"/>
      <c r="Q79" s="80" t="b">
        <v>0</v>
      </c>
      <c r="R79" s="81" t="b">
        <v>0</v>
      </c>
      <c r="S79" s="82" t="b">
        <v>0</v>
      </c>
    </row>
    <row r="80" ht="22.5" customHeight="1">
      <c r="A80" s="40" t="b">
        <v>0</v>
      </c>
      <c r="B80" s="40" t="b">
        <v>0</v>
      </c>
      <c r="C80" s="32"/>
      <c r="D80" s="32"/>
      <c r="E80" s="77"/>
      <c r="F80" s="90"/>
      <c r="G80" s="40" t="b">
        <v>0</v>
      </c>
      <c r="H80" s="90"/>
      <c r="I80" s="40" t="b">
        <v>0</v>
      </c>
      <c r="J80" s="90"/>
      <c r="K80" s="40" t="b">
        <v>0</v>
      </c>
      <c r="L80" s="32"/>
      <c r="M80" s="91"/>
      <c r="N80" s="92"/>
      <c r="O80" s="91" t="str">
        <f t="shared" si="1"/>
        <v/>
      </c>
      <c r="P80" s="79"/>
      <c r="Q80" s="80" t="b">
        <v>0</v>
      </c>
      <c r="R80" s="81" t="b">
        <v>0</v>
      </c>
      <c r="S80" s="82" t="b">
        <v>0</v>
      </c>
    </row>
    <row r="81" ht="22.5" customHeight="1">
      <c r="A81" s="40" t="b">
        <v>0</v>
      </c>
      <c r="B81" s="40" t="b">
        <v>0</v>
      </c>
      <c r="C81" s="32"/>
      <c r="D81" s="32"/>
      <c r="E81" s="77"/>
      <c r="F81" s="90"/>
      <c r="G81" s="40" t="b">
        <v>0</v>
      </c>
      <c r="H81" s="90"/>
      <c r="I81" s="40" t="b">
        <v>0</v>
      </c>
      <c r="J81" s="90"/>
      <c r="K81" s="40" t="b">
        <v>0</v>
      </c>
      <c r="L81" s="32"/>
      <c r="M81" s="91"/>
      <c r="N81" s="92"/>
      <c r="O81" s="91" t="str">
        <f t="shared" si="1"/>
        <v/>
      </c>
      <c r="P81" s="79"/>
      <c r="Q81" s="80" t="b">
        <v>0</v>
      </c>
      <c r="R81" s="81" t="b">
        <v>0</v>
      </c>
      <c r="S81" s="82" t="b">
        <v>0</v>
      </c>
    </row>
    <row r="82" ht="22.5" customHeight="1">
      <c r="A82" s="40" t="b">
        <v>0</v>
      </c>
      <c r="B82" s="40" t="b">
        <v>0</v>
      </c>
      <c r="C82" s="32"/>
      <c r="D82" s="32"/>
      <c r="E82" s="77"/>
      <c r="F82" s="90"/>
      <c r="G82" s="40" t="b">
        <v>0</v>
      </c>
      <c r="H82" s="90"/>
      <c r="I82" s="40" t="b">
        <v>0</v>
      </c>
      <c r="J82" s="90"/>
      <c r="K82" s="40" t="b">
        <v>0</v>
      </c>
      <c r="L82" s="32"/>
      <c r="M82" s="91"/>
      <c r="N82" s="92"/>
      <c r="O82" s="91" t="str">
        <f t="shared" si="1"/>
        <v/>
      </c>
      <c r="P82" s="79"/>
      <c r="Q82" s="80" t="b">
        <v>0</v>
      </c>
      <c r="R82" s="81" t="b">
        <v>0</v>
      </c>
      <c r="S82" s="82" t="b">
        <v>0</v>
      </c>
    </row>
    <row r="83" ht="22.5" customHeight="1">
      <c r="A83" s="40" t="b">
        <v>0</v>
      </c>
      <c r="B83" s="40" t="b">
        <v>0</v>
      </c>
      <c r="C83" s="32"/>
      <c r="D83" s="32"/>
      <c r="E83" s="77"/>
      <c r="F83" s="90"/>
      <c r="G83" s="40" t="b">
        <v>0</v>
      </c>
      <c r="H83" s="90"/>
      <c r="I83" s="40" t="b">
        <v>0</v>
      </c>
      <c r="J83" s="90"/>
      <c r="K83" s="40" t="b">
        <v>0</v>
      </c>
      <c r="L83" s="32"/>
      <c r="M83" s="91"/>
      <c r="N83" s="92"/>
      <c r="O83" s="91" t="str">
        <f t="shared" si="1"/>
        <v/>
      </c>
      <c r="P83" s="79"/>
      <c r="Q83" s="80" t="b">
        <v>0</v>
      </c>
      <c r="R83" s="81" t="b">
        <v>0</v>
      </c>
      <c r="S83" s="82" t="b">
        <v>0</v>
      </c>
    </row>
    <row r="84" ht="22.5" customHeight="1">
      <c r="A84" s="40" t="b">
        <v>0</v>
      </c>
      <c r="B84" s="40" t="b">
        <v>0</v>
      </c>
      <c r="C84" s="32"/>
      <c r="D84" s="32"/>
      <c r="E84" s="77"/>
      <c r="F84" s="90"/>
      <c r="G84" s="40" t="b">
        <v>0</v>
      </c>
      <c r="H84" s="90"/>
      <c r="I84" s="40" t="b">
        <v>0</v>
      </c>
      <c r="J84" s="90"/>
      <c r="K84" s="40" t="b">
        <v>0</v>
      </c>
      <c r="L84" s="32"/>
      <c r="M84" s="91"/>
      <c r="N84" s="92"/>
      <c r="O84" s="91" t="str">
        <f t="shared" si="1"/>
        <v/>
      </c>
      <c r="P84" s="79"/>
      <c r="Q84" s="80" t="b">
        <v>0</v>
      </c>
      <c r="R84" s="81" t="b">
        <v>0</v>
      </c>
      <c r="S84" s="82" t="b">
        <v>0</v>
      </c>
    </row>
    <row r="85" ht="22.5" customHeight="1">
      <c r="A85" s="40" t="b">
        <v>0</v>
      </c>
      <c r="B85" s="40" t="b">
        <v>0</v>
      </c>
      <c r="C85" s="32"/>
      <c r="D85" s="32"/>
      <c r="E85" s="77"/>
      <c r="F85" s="90"/>
      <c r="G85" s="40" t="b">
        <v>0</v>
      </c>
      <c r="H85" s="90"/>
      <c r="I85" s="40" t="b">
        <v>0</v>
      </c>
      <c r="J85" s="90"/>
      <c r="K85" s="40" t="b">
        <v>0</v>
      </c>
      <c r="L85" s="32"/>
      <c r="M85" s="91"/>
      <c r="N85" s="92"/>
      <c r="O85" s="91" t="str">
        <f t="shared" si="1"/>
        <v/>
      </c>
      <c r="P85" s="79"/>
      <c r="Q85" s="80" t="b">
        <v>0</v>
      </c>
      <c r="R85" s="81" t="b">
        <v>0</v>
      </c>
      <c r="S85" s="82" t="b">
        <v>0</v>
      </c>
    </row>
    <row r="86" ht="22.5" customHeight="1">
      <c r="A86" s="40" t="b">
        <v>0</v>
      </c>
      <c r="B86" s="40" t="b">
        <v>0</v>
      </c>
      <c r="C86" s="32"/>
      <c r="D86" s="32"/>
      <c r="E86" s="77"/>
      <c r="F86" s="90"/>
      <c r="G86" s="40" t="b">
        <v>0</v>
      </c>
      <c r="H86" s="90"/>
      <c r="I86" s="40" t="b">
        <v>0</v>
      </c>
      <c r="J86" s="90"/>
      <c r="K86" s="40" t="b">
        <v>0</v>
      </c>
      <c r="L86" s="32"/>
      <c r="M86" s="91"/>
      <c r="N86" s="92"/>
      <c r="O86" s="91" t="str">
        <f t="shared" si="1"/>
        <v/>
      </c>
      <c r="P86" s="79"/>
      <c r="Q86" s="80" t="b">
        <v>0</v>
      </c>
      <c r="R86" s="81" t="b">
        <v>0</v>
      </c>
      <c r="S86" s="82" t="b">
        <v>0</v>
      </c>
    </row>
    <row r="87" ht="22.5" customHeight="1">
      <c r="A87" s="40" t="b">
        <v>0</v>
      </c>
      <c r="B87" s="40" t="b">
        <v>0</v>
      </c>
      <c r="C87" s="32"/>
      <c r="D87" s="32"/>
      <c r="E87" s="77"/>
      <c r="F87" s="90"/>
      <c r="G87" s="40" t="b">
        <v>0</v>
      </c>
      <c r="H87" s="90"/>
      <c r="I87" s="40" t="b">
        <v>0</v>
      </c>
      <c r="J87" s="90"/>
      <c r="K87" s="40" t="b">
        <v>0</v>
      </c>
      <c r="L87" s="32"/>
      <c r="M87" s="91"/>
      <c r="N87" s="92"/>
      <c r="O87" s="91" t="str">
        <f t="shared" si="1"/>
        <v/>
      </c>
      <c r="P87" s="79"/>
      <c r="Q87" s="80" t="b">
        <v>0</v>
      </c>
      <c r="R87" s="81" t="b">
        <v>0</v>
      </c>
      <c r="S87" s="82" t="b">
        <v>0</v>
      </c>
    </row>
    <row r="88" ht="22.5" customHeight="1">
      <c r="A88" s="40" t="b">
        <v>0</v>
      </c>
      <c r="B88" s="40" t="b">
        <v>0</v>
      </c>
      <c r="C88" s="32"/>
      <c r="D88" s="32"/>
      <c r="E88" s="77"/>
      <c r="F88" s="90"/>
      <c r="G88" s="40" t="b">
        <v>0</v>
      </c>
      <c r="H88" s="90"/>
      <c r="I88" s="40" t="b">
        <v>0</v>
      </c>
      <c r="J88" s="90"/>
      <c r="K88" s="40" t="b">
        <v>0</v>
      </c>
      <c r="L88" s="32"/>
      <c r="M88" s="91"/>
      <c r="N88" s="92"/>
      <c r="O88" s="91" t="str">
        <f t="shared" si="1"/>
        <v/>
      </c>
      <c r="P88" s="79"/>
      <c r="Q88" s="80" t="b">
        <v>0</v>
      </c>
      <c r="R88" s="81" t="b">
        <v>0</v>
      </c>
      <c r="S88" s="82" t="b">
        <v>0</v>
      </c>
    </row>
    <row r="89" ht="22.5" customHeight="1">
      <c r="A89" s="40" t="b">
        <v>0</v>
      </c>
      <c r="B89" s="40" t="b">
        <v>0</v>
      </c>
      <c r="C89" s="32"/>
      <c r="D89" s="32"/>
      <c r="E89" s="77"/>
      <c r="F89" s="90"/>
      <c r="G89" s="40" t="b">
        <v>0</v>
      </c>
      <c r="H89" s="90"/>
      <c r="I89" s="40" t="b">
        <v>0</v>
      </c>
      <c r="J89" s="90"/>
      <c r="K89" s="40" t="b">
        <v>0</v>
      </c>
      <c r="L89" s="32"/>
      <c r="M89" s="91"/>
      <c r="N89" s="92"/>
      <c r="O89" s="91" t="str">
        <f t="shared" si="1"/>
        <v/>
      </c>
      <c r="P89" s="79"/>
      <c r="Q89" s="80" t="b">
        <v>0</v>
      </c>
      <c r="R89" s="81" t="b">
        <v>0</v>
      </c>
      <c r="S89" s="82" t="b">
        <v>0</v>
      </c>
    </row>
    <row r="90" ht="22.5" customHeight="1">
      <c r="A90" s="40" t="b">
        <v>0</v>
      </c>
      <c r="B90" s="40" t="b">
        <v>0</v>
      </c>
      <c r="C90" s="32"/>
      <c r="D90" s="32"/>
      <c r="E90" s="77"/>
      <c r="F90" s="90"/>
      <c r="G90" s="40" t="b">
        <v>0</v>
      </c>
      <c r="H90" s="90"/>
      <c r="I90" s="40" t="b">
        <v>0</v>
      </c>
      <c r="J90" s="90"/>
      <c r="K90" s="40" t="b">
        <v>0</v>
      </c>
      <c r="L90" s="32"/>
      <c r="M90" s="91"/>
      <c r="N90" s="92"/>
      <c r="O90" s="91" t="str">
        <f t="shared" si="1"/>
        <v/>
      </c>
      <c r="P90" s="79"/>
      <c r="Q90" s="80" t="b">
        <v>0</v>
      </c>
      <c r="R90" s="81" t="b">
        <v>0</v>
      </c>
      <c r="S90" s="82" t="b">
        <v>0</v>
      </c>
    </row>
    <row r="91" ht="22.5" customHeight="1">
      <c r="A91" s="40" t="b">
        <v>0</v>
      </c>
      <c r="B91" s="40" t="b">
        <v>0</v>
      </c>
      <c r="C91" s="32"/>
      <c r="D91" s="32"/>
      <c r="E91" s="77"/>
      <c r="F91" s="90"/>
      <c r="G91" s="40" t="b">
        <v>0</v>
      </c>
      <c r="H91" s="90"/>
      <c r="I91" s="40" t="b">
        <v>0</v>
      </c>
      <c r="J91" s="90"/>
      <c r="K91" s="40" t="b">
        <v>0</v>
      </c>
      <c r="L91" s="32"/>
      <c r="M91" s="91"/>
      <c r="N91" s="92"/>
      <c r="O91" s="91" t="str">
        <f t="shared" si="1"/>
        <v/>
      </c>
      <c r="P91" s="79"/>
      <c r="Q91" s="80" t="b">
        <v>0</v>
      </c>
      <c r="R91" s="81" t="b">
        <v>0</v>
      </c>
      <c r="S91" s="82" t="b">
        <v>0</v>
      </c>
    </row>
    <row r="92" ht="22.5" customHeight="1">
      <c r="A92" s="40" t="b">
        <v>0</v>
      </c>
      <c r="B92" s="40" t="b">
        <v>0</v>
      </c>
      <c r="C92" s="32"/>
      <c r="D92" s="32"/>
      <c r="E92" s="77"/>
      <c r="F92" s="90"/>
      <c r="G92" s="40" t="b">
        <v>0</v>
      </c>
      <c r="H92" s="90"/>
      <c r="I92" s="40" t="b">
        <v>0</v>
      </c>
      <c r="J92" s="90"/>
      <c r="K92" s="40" t="b">
        <v>0</v>
      </c>
      <c r="L92" s="32"/>
      <c r="M92" s="91"/>
      <c r="N92" s="92"/>
      <c r="O92" s="91" t="str">
        <f t="shared" si="1"/>
        <v/>
      </c>
      <c r="P92" s="79"/>
      <c r="Q92" s="80" t="b">
        <v>0</v>
      </c>
      <c r="R92" s="81" t="b">
        <v>0</v>
      </c>
      <c r="S92" s="82" t="b">
        <v>0</v>
      </c>
    </row>
    <row r="93" ht="22.5" customHeight="1">
      <c r="A93" s="40" t="b">
        <v>0</v>
      </c>
      <c r="B93" s="40" t="b">
        <v>0</v>
      </c>
      <c r="C93" s="32"/>
      <c r="D93" s="32"/>
      <c r="E93" s="77"/>
      <c r="F93" s="90"/>
      <c r="G93" s="40" t="b">
        <v>0</v>
      </c>
      <c r="H93" s="90"/>
      <c r="I93" s="40" t="b">
        <v>0</v>
      </c>
      <c r="J93" s="90"/>
      <c r="K93" s="40" t="b">
        <v>0</v>
      </c>
      <c r="L93" s="32"/>
      <c r="M93" s="91"/>
      <c r="N93" s="92"/>
      <c r="O93" s="91" t="str">
        <f t="shared" si="1"/>
        <v/>
      </c>
      <c r="P93" s="79"/>
      <c r="Q93" s="80" t="b">
        <v>0</v>
      </c>
      <c r="R93" s="81" t="b">
        <v>0</v>
      </c>
      <c r="S93" s="82" t="b">
        <v>0</v>
      </c>
    </row>
    <row r="94" ht="22.5" customHeight="1">
      <c r="A94" s="40" t="b">
        <v>0</v>
      </c>
      <c r="B94" s="40" t="b">
        <v>0</v>
      </c>
      <c r="C94" s="32"/>
      <c r="D94" s="32"/>
      <c r="E94" s="77"/>
      <c r="F94" s="90"/>
      <c r="G94" s="40" t="b">
        <v>0</v>
      </c>
      <c r="H94" s="90"/>
      <c r="I94" s="40" t="b">
        <v>0</v>
      </c>
      <c r="J94" s="90"/>
      <c r="K94" s="40" t="b">
        <v>0</v>
      </c>
      <c r="L94" s="32"/>
      <c r="M94" s="91"/>
      <c r="N94" s="92"/>
      <c r="O94" s="91" t="str">
        <f t="shared" si="1"/>
        <v/>
      </c>
      <c r="P94" s="79"/>
      <c r="Q94" s="80" t="b">
        <v>0</v>
      </c>
      <c r="R94" s="81" t="b">
        <v>0</v>
      </c>
      <c r="S94" s="82" t="b">
        <v>0</v>
      </c>
    </row>
    <row r="95" ht="22.5" customHeight="1">
      <c r="A95" s="40" t="b">
        <v>0</v>
      </c>
      <c r="B95" s="40" t="b">
        <v>0</v>
      </c>
      <c r="C95" s="32"/>
      <c r="D95" s="32"/>
      <c r="E95" s="77"/>
      <c r="F95" s="90"/>
      <c r="G95" s="40" t="b">
        <v>0</v>
      </c>
      <c r="H95" s="90"/>
      <c r="I95" s="40" t="b">
        <v>0</v>
      </c>
      <c r="J95" s="90"/>
      <c r="K95" s="40" t="b">
        <v>0</v>
      </c>
      <c r="L95" s="32"/>
      <c r="M95" s="91"/>
      <c r="N95" s="92"/>
      <c r="O95" s="91" t="str">
        <f t="shared" si="1"/>
        <v/>
      </c>
      <c r="P95" s="79"/>
      <c r="Q95" s="80" t="b">
        <v>0</v>
      </c>
      <c r="R95" s="81" t="b">
        <v>0</v>
      </c>
      <c r="S95" s="82" t="b">
        <v>0</v>
      </c>
    </row>
    <row r="96" ht="22.5" customHeight="1">
      <c r="A96" s="40" t="b">
        <v>0</v>
      </c>
      <c r="B96" s="40" t="b">
        <v>0</v>
      </c>
      <c r="C96" s="32"/>
      <c r="D96" s="32"/>
      <c r="E96" s="77"/>
      <c r="F96" s="90"/>
      <c r="G96" s="40" t="b">
        <v>0</v>
      </c>
      <c r="H96" s="90"/>
      <c r="I96" s="40" t="b">
        <v>0</v>
      </c>
      <c r="J96" s="90"/>
      <c r="K96" s="40" t="b">
        <v>0</v>
      </c>
      <c r="L96" s="32"/>
      <c r="M96" s="91"/>
      <c r="N96" s="92"/>
      <c r="O96" s="91" t="str">
        <f t="shared" si="1"/>
        <v/>
      </c>
      <c r="P96" s="79"/>
      <c r="Q96" s="80" t="b">
        <v>0</v>
      </c>
      <c r="R96" s="81" t="b">
        <v>0</v>
      </c>
      <c r="S96" s="82" t="b">
        <v>0</v>
      </c>
    </row>
    <row r="97" ht="22.5" customHeight="1">
      <c r="A97" s="40" t="b">
        <v>0</v>
      </c>
      <c r="B97" s="40" t="b">
        <v>0</v>
      </c>
      <c r="C97" s="32"/>
      <c r="D97" s="32"/>
      <c r="E97" s="77"/>
      <c r="F97" s="90"/>
      <c r="G97" s="40" t="b">
        <v>0</v>
      </c>
      <c r="H97" s="90"/>
      <c r="I97" s="40" t="b">
        <v>0</v>
      </c>
      <c r="J97" s="90"/>
      <c r="K97" s="40" t="b">
        <v>0</v>
      </c>
      <c r="L97" s="32"/>
      <c r="M97" s="91"/>
      <c r="N97" s="92"/>
      <c r="O97" s="91" t="str">
        <f t="shared" si="1"/>
        <v/>
      </c>
      <c r="P97" s="79"/>
      <c r="Q97" s="80" t="b">
        <v>0</v>
      </c>
      <c r="R97" s="81" t="b">
        <v>0</v>
      </c>
      <c r="S97" s="82" t="b">
        <v>0</v>
      </c>
    </row>
    <row r="98" ht="22.5" customHeight="1">
      <c r="A98" s="40" t="b">
        <v>0</v>
      </c>
      <c r="B98" s="40" t="b">
        <v>0</v>
      </c>
      <c r="C98" s="32"/>
      <c r="D98" s="32"/>
      <c r="E98" s="77"/>
      <c r="F98" s="90"/>
      <c r="G98" s="40" t="b">
        <v>0</v>
      </c>
      <c r="H98" s="90"/>
      <c r="I98" s="40" t="b">
        <v>0</v>
      </c>
      <c r="J98" s="90"/>
      <c r="K98" s="40" t="b">
        <v>0</v>
      </c>
      <c r="L98" s="32"/>
      <c r="M98" s="91"/>
      <c r="N98" s="92"/>
      <c r="O98" s="91" t="str">
        <f t="shared" si="1"/>
        <v/>
      </c>
      <c r="P98" s="79"/>
      <c r="Q98" s="80" t="b">
        <v>0</v>
      </c>
      <c r="R98" s="81" t="b">
        <v>0</v>
      </c>
      <c r="S98" s="82" t="b">
        <v>0</v>
      </c>
    </row>
    <row r="99" ht="22.5" customHeight="1">
      <c r="A99" s="40" t="b">
        <v>0</v>
      </c>
      <c r="B99" s="40" t="b">
        <v>0</v>
      </c>
      <c r="C99" s="32"/>
      <c r="D99" s="32"/>
      <c r="E99" s="77"/>
      <c r="F99" s="90"/>
      <c r="G99" s="40" t="b">
        <v>0</v>
      </c>
      <c r="H99" s="90"/>
      <c r="I99" s="40" t="b">
        <v>0</v>
      </c>
      <c r="J99" s="90"/>
      <c r="K99" s="40" t="b">
        <v>0</v>
      </c>
      <c r="L99" s="32"/>
      <c r="M99" s="91"/>
      <c r="N99" s="92"/>
      <c r="O99" s="91" t="str">
        <f t="shared" si="1"/>
        <v/>
      </c>
      <c r="P99" s="79"/>
      <c r="Q99" s="80" t="b">
        <v>0</v>
      </c>
      <c r="R99" s="81" t="b">
        <v>0</v>
      </c>
      <c r="S99" s="82" t="b">
        <v>0</v>
      </c>
    </row>
    <row r="100">
      <c r="O100" s="93"/>
    </row>
    <row r="101">
      <c r="O101" s="93"/>
    </row>
    <row r="102">
      <c r="O102" s="93"/>
    </row>
    <row r="103">
      <c r="O103" s="93"/>
    </row>
    <row r="104">
      <c r="O104" s="93"/>
    </row>
    <row r="105">
      <c r="O105" s="93"/>
    </row>
    <row r="106">
      <c r="O106" s="93"/>
    </row>
    <row r="107">
      <c r="O107" s="93"/>
    </row>
    <row r="108">
      <c r="O108" s="93"/>
    </row>
    <row r="109">
      <c r="O109" s="93"/>
    </row>
    <row r="110">
      <c r="O110" s="93"/>
    </row>
    <row r="111">
      <c r="O111" s="93"/>
    </row>
    <row r="112">
      <c r="O112" s="93"/>
    </row>
    <row r="113">
      <c r="O113" s="93"/>
    </row>
    <row r="114">
      <c r="O114" s="93"/>
    </row>
    <row r="115">
      <c r="O115" s="93"/>
    </row>
    <row r="116">
      <c r="O116" s="93"/>
    </row>
    <row r="117">
      <c r="O117" s="93"/>
    </row>
    <row r="118">
      <c r="O118" s="93"/>
    </row>
    <row r="119">
      <c r="O119" s="93"/>
    </row>
    <row r="120">
      <c r="O120" s="93"/>
    </row>
    <row r="121">
      <c r="O121" s="93"/>
    </row>
    <row r="122">
      <c r="O122" s="93"/>
    </row>
    <row r="123">
      <c r="O123" s="93"/>
    </row>
    <row r="124">
      <c r="O124" s="93"/>
    </row>
    <row r="125">
      <c r="O125" s="93"/>
    </row>
    <row r="126">
      <c r="O126" s="93"/>
    </row>
    <row r="127">
      <c r="O127" s="93"/>
    </row>
    <row r="128">
      <c r="O128" s="93"/>
    </row>
    <row r="129">
      <c r="O129" s="93"/>
    </row>
    <row r="130">
      <c r="O130" s="93"/>
    </row>
    <row r="131">
      <c r="O131" s="93"/>
    </row>
    <row r="132">
      <c r="O132" s="93"/>
    </row>
    <row r="133">
      <c r="O133" s="93"/>
    </row>
    <row r="134">
      <c r="O134" s="93"/>
    </row>
    <row r="135">
      <c r="O135" s="93"/>
    </row>
    <row r="136">
      <c r="O136" s="93"/>
    </row>
    <row r="137">
      <c r="O137" s="93"/>
    </row>
    <row r="138">
      <c r="O138" s="93"/>
    </row>
    <row r="139">
      <c r="O139" s="93"/>
    </row>
    <row r="140">
      <c r="O140" s="93"/>
    </row>
    <row r="141">
      <c r="O141" s="93"/>
    </row>
    <row r="142">
      <c r="O142" s="93"/>
    </row>
    <row r="143">
      <c r="O143" s="93"/>
    </row>
    <row r="144">
      <c r="O144" s="93"/>
    </row>
    <row r="145">
      <c r="O145" s="93"/>
    </row>
    <row r="146">
      <c r="O146" s="93"/>
    </row>
    <row r="147">
      <c r="O147" s="93"/>
    </row>
    <row r="148">
      <c r="O148" s="93"/>
    </row>
    <row r="149">
      <c r="O149" s="93"/>
    </row>
    <row r="150">
      <c r="O150" s="93"/>
    </row>
    <row r="151">
      <c r="O151" s="93"/>
    </row>
    <row r="152">
      <c r="O152" s="93"/>
    </row>
    <row r="153">
      <c r="O153" s="93"/>
    </row>
    <row r="154">
      <c r="O154" s="93"/>
    </row>
    <row r="155">
      <c r="O155" s="93"/>
    </row>
    <row r="156">
      <c r="O156" s="93"/>
    </row>
    <row r="157">
      <c r="O157" s="93"/>
    </row>
    <row r="158">
      <c r="O158" s="93"/>
    </row>
    <row r="159">
      <c r="O159" s="93"/>
    </row>
    <row r="160">
      <c r="O160" s="93"/>
    </row>
    <row r="161">
      <c r="O161" s="93"/>
    </row>
    <row r="162">
      <c r="O162" s="93"/>
    </row>
    <row r="163">
      <c r="O163" s="93"/>
    </row>
    <row r="164">
      <c r="O164" s="93"/>
    </row>
    <row r="165">
      <c r="O165" s="93"/>
    </row>
    <row r="166">
      <c r="O166" s="93"/>
    </row>
    <row r="167">
      <c r="O167" s="93"/>
    </row>
    <row r="168">
      <c r="O168" s="93"/>
    </row>
    <row r="169">
      <c r="O169" s="93"/>
    </row>
    <row r="170">
      <c r="O170" s="93"/>
    </row>
    <row r="171">
      <c r="O171" s="93"/>
    </row>
    <row r="172">
      <c r="O172" s="93"/>
    </row>
    <row r="173">
      <c r="O173" s="93"/>
    </row>
    <row r="174">
      <c r="O174" s="93"/>
    </row>
    <row r="175">
      <c r="O175" s="93"/>
    </row>
    <row r="176">
      <c r="O176" s="93"/>
    </row>
    <row r="177">
      <c r="O177" s="93"/>
    </row>
    <row r="178">
      <c r="O178" s="93"/>
    </row>
    <row r="179">
      <c r="O179" s="93"/>
    </row>
    <row r="180">
      <c r="O180" s="93"/>
    </row>
    <row r="181">
      <c r="O181" s="93"/>
    </row>
    <row r="182">
      <c r="O182" s="93"/>
    </row>
    <row r="183">
      <c r="O183" s="93"/>
    </row>
    <row r="184">
      <c r="O184" s="93"/>
    </row>
    <row r="185">
      <c r="O185" s="93"/>
    </row>
    <row r="186">
      <c r="O186" s="93"/>
    </row>
    <row r="187">
      <c r="O187" s="93"/>
    </row>
    <row r="188">
      <c r="O188" s="93"/>
    </row>
    <row r="189">
      <c r="O189" s="93"/>
    </row>
    <row r="190">
      <c r="O190" s="93"/>
    </row>
    <row r="191">
      <c r="O191" s="93"/>
    </row>
    <row r="192">
      <c r="O192" s="93"/>
    </row>
    <row r="193">
      <c r="O193" s="93"/>
    </row>
    <row r="194">
      <c r="O194" s="93"/>
    </row>
    <row r="195">
      <c r="O195" s="93"/>
    </row>
    <row r="196">
      <c r="O196" s="93"/>
    </row>
    <row r="197">
      <c r="O197" s="93"/>
    </row>
    <row r="198">
      <c r="O198" s="93"/>
    </row>
    <row r="199">
      <c r="O199" s="93"/>
    </row>
    <row r="200">
      <c r="O200" s="93"/>
    </row>
    <row r="201">
      <c r="O201" s="93"/>
    </row>
    <row r="202">
      <c r="O202" s="93"/>
    </row>
    <row r="203">
      <c r="O203" s="93"/>
    </row>
    <row r="204">
      <c r="O204" s="93"/>
    </row>
    <row r="205">
      <c r="O205" s="93"/>
    </row>
    <row r="206">
      <c r="O206" s="93"/>
    </row>
    <row r="207">
      <c r="O207" s="93"/>
    </row>
    <row r="208">
      <c r="O208" s="93"/>
    </row>
    <row r="209">
      <c r="O209" s="93"/>
    </row>
    <row r="210">
      <c r="O210" s="93"/>
    </row>
    <row r="211">
      <c r="O211" s="93"/>
    </row>
    <row r="212">
      <c r="O212" s="93"/>
    </row>
    <row r="213">
      <c r="O213" s="93"/>
    </row>
    <row r="214">
      <c r="O214" s="93"/>
    </row>
    <row r="215">
      <c r="O215" s="93"/>
    </row>
    <row r="216">
      <c r="O216" s="93"/>
    </row>
    <row r="217">
      <c r="O217" s="93"/>
    </row>
    <row r="218">
      <c r="O218" s="93"/>
    </row>
    <row r="219">
      <c r="O219" s="93"/>
    </row>
    <row r="220">
      <c r="O220" s="93"/>
    </row>
    <row r="221">
      <c r="O221" s="93"/>
    </row>
    <row r="222">
      <c r="O222" s="93"/>
    </row>
    <row r="223">
      <c r="O223" s="93"/>
    </row>
    <row r="224">
      <c r="O224" s="93"/>
    </row>
    <row r="225">
      <c r="O225" s="93"/>
    </row>
    <row r="226">
      <c r="O226" s="93"/>
    </row>
    <row r="227">
      <c r="O227" s="93"/>
    </row>
    <row r="228">
      <c r="O228" s="93"/>
    </row>
    <row r="229">
      <c r="O229" s="93"/>
    </row>
    <row r="230">
      <c r="O230" s="93"/>
    </row>
    <row r="231">
      <c r="O231" s="93"/>
    </row>
    <row r="232">
      <c r="O232" s="93"/>
    </row>
    <row r="233">
      <c r="O233" s="93"/>
    </row>
    <row r="234">
      <c r="O234" s="93"/>
    </row>
    <row r="235">
      <c r="O235" s="93"/>
    </row>
    <row r="236">
      <c r="O236" s="93"/>
    </row>
    <row r="237">
      <c r="O237" s="93"/>
    </row>
    <row r="238">
      <c r="O238" s="93"/>
    </row>
    <row r="239">
      <c r="O239" s="93"/>
    </row>
    <row r="240">
      <c r="O240" s="93"/>
    </row>
    <row r="241">
      <c r="O241" s="93"/>
    </row>
    <row r="242">
      <c r="O242" s="93"/>
    </row>
    <row r="243">
      <c r="O243" s="93"/>
    </row>
    <row r="244">
      <c r="O244" s="93"/>
    </row>
    <row r="245">
      <c r="O245" s="93"/>
    </row>
    <row r="246">
      <c r="O246" s="93"/>
    </row>
    <row r="247">
      <c r="O247" s="93"/>
    </row>
    <row r="248">
      <c r="O248" s="93"/>
    </row>
    <row r="249">
      <c r="O249" s="93"/>
    </row>
    <row r="250">
      <c r="O250" s="93"/>
    </row>
    <row r="251">
      <c r="O251" s="93"/>
    </row>
    <row r="252">
      <c r="O252" s="93"/>
    </row>
    <row r="253">
      <c r="O253" s="93"/>
    </row>
    <row r="254">
      <c r="O254" s="93"/>
    </row>
    <row r="255">
      <c r="O255" s="93"/>
    </row>
    <row r="256">
      <c r="O256" s="93"/>
    </row>
    <row r="257">
      <c r="O257" s="93"/>
    </row>
    <row r="258">
      <c r="O258" s="93"/>
    </row>
    <row r="259">
      <c r="O259" s="93"/>
    </row>
    <row r="260">
      <c r="O260" s="93"/>
    </row>
    <row r="261">
      <c r="O261" s="93"/>
    </row>
    <row r="262">
      <c r="O262" s="93"/>
    </row>
    <row r="263">
      <c r="O263" s="93"/>
    </row>
    <row r="264">
      <c r="O264" s="93"/>
    </row>
    <row r="265">
      <c r="O265" s="93"/>
    </row>
    <row r="266">
      <c r="O266" s="93"/>
    </row>
    <row r="267">
      <c r="O267" s="93"/>
    </row>
    <row r="268">
      <c r="O268" s="93"/>
    </row>
    <row r="269">
      <c r="O269" s="93"/>
    </row>
    <row r="270">
      <c r="O270" s="93"/>
    </row>
    <row r="271">
      <c r="O271" s="93"/>
    </row>
    <row r="272">
      <c r="O272" s="93"/>
    </row>
    <row r="273">
      <c r="O273" s="93"/>
    </row>
    <row r="274">
      <c r="O274" s="93"/>
    </row>
    <row r="275">
      <c r="O275" s="93"/>
    </row>
    <row r="276">
      <c r="O276" s="93"/>
    </row>
    <row r="277">
      <c r="O277" s="93"/>
    </row>
    <row r="278">
      <c r="O278" s="93"/>
    </row>
    <row r="279">
      <c r="O279" s="93"/>
    </row>
    <row r="280">
      <c r="O280" s="93"/>
    </row>
    <row r="281">
      <c r="O281" s="93"/>
    </row>
    <row r="282">
      <c r="O282" s="93"/>
    </row>
    <row r="283">
      <c r="O283" s="93"/>
    </row>
    <row r="284">
      <c r="O284" s="93"/>
    </row>
    <row r="285">
      <c r="O285" s="93"/>
    </row>
    <row r="286">
      <c r="O286" s="93"/>
    </row>
    <row r="287">
      <c r="O287" s="93"/>
    </row>
    <row r="288">
      <c r="O288" s="93"/>
    </row>
    <row r="289">
      <c r="O289" s="93"/>
    </row>
    <row r="290">
      <c r="O290" s="93"/>
    </row>
    <row r="291">
      <c r="O291" s="93"/>
    </row>
    <row r="292">
      <c r="O292" s="93"/>
    </row>
    <row r="293">
      <c r="O293" s="93"/>
    </row>
    <row r="294">
      <c r="O294" s="93"/>
    </row>
    <row r="295">
      <c r="O295" s="93"/>
    </row>
    <row r="296">
      <c r="O296" s="93"/>
    </row>
    <row r="297">
      <c r="O297" s="93"/>
    </row>
    <row r="298">
      <c r="O298" s="93"/>
    </row>
    <row r="299">
      <c r="O299" s="93"/>
    </row>
    <row r="300">
      <c r="O300" s="93"/>
    </row>
    <row r="301">
      <c r="O301" s="93"/>
    </row>
    <row r="302">
      <c r="O302" s="93"/>
    </row>
    <row r="303">
      <c r="O303" s="93"/>
    </row>
    <row r="304">
      <c r="O304" s="93"/>
    </row>
    <row r="305">
      <c r="O305" s="93"/>
    </row>
    <row r="306">
      <c r="O306" s="93"/>
    </row>
    <row r="307">
      <c r="O307" s="93"/>
    </row>
    <row r="308">
      <c r="O308" s="93"/>
    </row>
    <row r="309">
      <c r="O309" s="93"/>
    </row>
    <row r="310">
      <c r="O310" s="93"/>
    </row>
    <row r="311">
      <c r="O311" s="93"/>
    </row>
    <row r="312">
      <c r="O312" s="93"/>
    </row>
    <row r="313">
      <c r="O313" s="93"/>
    </row>
    <row r="314">
      <c r="O314" s="93"/>
    </row>
    <row r="315">
      <c r="O315" s="93"/>
    </row>
    <row r="316">
      <c r="O316" s="93"/>
    </row>
    <row r="317">
      <c r="O317" s="93"/>
    </row>
    <row r="318">
      <c r="O318" s="93"/>
    </row>
    <row r="319">
      <c r="O319" s="93"/>
    </row>
    <row r="320">
      <c r="O320" s="93"/>
    </row>
    <row r="321">
      <c r="O321" s="93"/>
    </row>
    <row r="322">
      <c r="O322" s="93"/>
    </row>
    <row r="323">
      <c r="O323" s="93"/>
    </row>
    <row r="324">
      <c r="O324" s="93"/>
    </row>
    <row r="325">
      <c r="O325" s="93"/>
    </row>
    <row r="326">
      <c r="O326" s="93"/>
    </row>
    <row r="327">
      <c r="O327" s="93"/>
    </row>
    <row r="328">
      <c r="O328" s="93"/>
    </row>
    <row r="329">
      <c r="O329" s="93"/>
    </row>
    <row r="330">
      <c r="O330" s="93"/>
    </row>
    <row r="331">
      <c r="O331" s="93"/>
    </row>
    <row r="332">
      <c r="O332" s="93"/>
    </row>
    <row r="333">
      <c r="O333" s="93"/>
    </row>
    <row r="334">
      <c r="O334" s="93"/>
    </row>
    <row r="335">
      <c r="O335" s="93"/>
    </row>
    <row r="336">
      <c r="O336" s="93"/>
    </row>
    <row r="337">
      <c r="O337" s="93"/>
    </row>
    <row r="338">
      <c r="O338" s="93"/>
    </row>
    <row r="339">
      <c r="O339" s="93"/>
    </row>
    <row r="340">
      <c r="O340" s="93"/>
    </row>
    <row r="341">
      <c r="O341" s="93"/>
    </row>
    <row r="342">
      <c r="O342" s="93"/>
    </row>
    <row r="343">
      <c r="O343" s="93"/>
    </row>
    <row r="344">
      <c r="O344" s="93"/>
    </row>
    <row r="345">
      <c r="O345" s="93"/>
    </row>
    <row r="346">
      <c r="O346" s="93"/>
    </row>
    <row r="347">
      <c r="O347" s="93"/>
    </row>
    <row r="348">
      <c r="O348" s="93"/>
    </row>
    <row r="349">
      <c r="O349" s="93"/>
    </row>
    <row r="350">
      <c r="O350" s="93"/>
    </row>
    <row r="351">
      <c r="O351" s="93"/>
    </row>
    <row r="352">
      <c r="O352" s="93"/>
    </row>
    <row r="353">
      <c r="O353" s="93"/>
    </row>
    <row r="354">
      <c r="O354" s="93"/>
    </row>
    <row r="355">
      <c r="O355" s="93"/>
    </row>
    <row r="356">
      <c r="O356" s="93"/>
    </row>
    <row r="357">
      <c r="O357" s="93"/>
    </row>
    <row r="358">
      <c r="O358" s="93"/>
    </row>
    <row r="359">
      <c r="O359" s="93"/>
    </row>
    <row r="360">
      <c r="O360" s="93"/>
    </row>
    <row r="361">
      <c r="O361" s="93"/>
    </row>
    <row r="362">
      <c r="O362" s="93"/>
    </row>
    <row r="363">
      <c r="O363" s="93"/>
    </row>
    <row r="364">
      <c r="O364" s="93"/>
    </row>
    <row r="365">
      <c r="O365" s="93"/>
    </row>
    <row r="366">
      <c r="O366" s="93"/>
    </row>
    <row r="367">
      <c r="O367" s="93"/>
    </row>
    <row r="368">
      <c r="O368" s="93"/>
    </row>
    <row r="369">
      <c r="O369" s="93"/>
    </row>
    <row r="370">
      <c r="O370" s="93"/>
    </row>
    <row r="371">
      <c r="O371" s="93"/>
    </row>
    <row r="372">
      <c r="O372" s="93"/>
    </row>
    <row r="373">
      <c r="O373" s="93"/>
    </row>
    <row r="374">
      <c r="O374" s="93"/>
    </row>
    <row r="375">
      <c r="O375" s="93"/>
    </row>
    <row r="376">
      <c r="O376" s="93"/>
    </row>
    <row r="377">
      <c r="O377" s="93"/>
    </row>
    <row r="378">
      <c r="O378" s="93"/>
    </row>
    <row r="379">
      <c r="O379" s="93"/>
    </row>
    <row r="380">
      <c r="O380" s="93"/>
    </row>
    <row r="381">
      <c r="O381" s="93"/>
    </row>
    <row r="382">
      <c r="O382" s="93"/>
    </row>
    <row r="383">
      <c r="O383" s="93"/>
    </row>
    <row r="384">
      <c r="O384" s="93"/>
    </row>
    <row r="385">
      <c r="O385" s="93"/>
    </row>
    <row r="386">
      <c r="O386" s="93"/>
    </row>
    <row r="387">
      <c r="O387" s="93"/>
    </row>
    <row r="388">
      <c r="O388" s="93"/>
    </row>
    <row r="389">
      <c r="O389" s="93"/>
    </row>
    <row r="390">
      <c r="O390" s="93"/>
    </row>
    <row r="391">
      <c r="O391" s="93"/>
    </row>
    <row r="392">
      <c r="O392" s="93"/>
    </row>
    <row r="393">
      <c r="O393" s="93"/>
    </row>
    <row r="394">
      <c r="O394" s="93"/>
    </row>
    <row r="395">
      <c r="O395" s="93"/>
    </row>
    <row r="396">
      <c r="O396" s="93"/>
    </row>
    <row r="397">
      <c r="O397" s="93"/>
    </row>
    <row r="398">
      <c r="O398" s="93"/>
    </row>
    <row r="399">
      <c r="O399" s="93"/>
    </row>
    <row r="400">
      <c r="O400" s="93"/>
    </row>
    <row r="401">
      <c r="O401" s="93"/>
    </row>
    <row r="402">
      <c r="O402" s="93"/>
    </row>
    <row r="403">
      <c r="O403" s="93"/>
    </row>
    <row r="404">
      <c r="O404" s="93"/>
    </row>
    <row r="405">
      <c r="O405" s="93"/>
    </row>
    <row r="406">
      <c r="O406" s="93"/>
    </row>
    <row r="407">
      <c r="O407" s="93"/>
    </row>
    <row r="408">
      <c r="O408" s="93"/>
    </row>
    <row r="409">
      <c r="O409" s="93"/>
    </row>
    <row r="410">
      <c r="O410" s="93"/>
    </row>
    <row r="411">
      <c r="O411" s="93"/>
    </row>
    <row r="412">
      <c r="O412" s="93"/>
    </row>
    <row r="413">
      <c r="O413" s="93"/>
    </row>
    <row r="414">
      <c r="O414" s="93"/>
    </row>
    <row r="415">
      <c r="O415" s="93"/>
    </row>
    <row r="416">
      <c r="O416" s="93"/>
    </row>
    <row r="417">
      <c r="O417" s="93"/>
    </row>
    <row r="418">
      <c r="O418" s="93"/>
    </row>
    <row r="419">
      <c r="O419" s="93"/>
    </row>
    <row r="420">
      <c r="O420" s="93"/>
    </row>
    <row r="421">
      <c r="O421" s="93"/>
    </row>
    <row r="422">
      <c r="O422" s="93"/>
    </row>
    <row r="423">
      <c r="O423" s="93"/>
    </row>
    <row r="424">
      <c r="O424" s="93"/>
    </row>
    <row r="425">
      <c r="O425" s="93"/>
    </row>
    <row r="426">
      <c r="O426" s="93"/>
    </row>
    <row r="427">
      <c r="O427" s="93"/>
    </row>
    <row r="428">
      <c r="O428" s="93"/>
    </row>
    <row r="429">
      <c r="O429" s="93"/>
    </row>
    <row r="430">
      <c r="O430" s="93"/>
    </row>
    <row r="431">
      <c r="O431" s="93"/>
    </row>
    <row r="432">
      <c r="O432" s="93"/>
    </row>
    <row r="433">
      <c r="O433" s="93"/>
    </row>
    <row r="434">
      <c r="O434" s="93"/>
    </row>
    <row r="435">
      <c r="O435" s="93"/>
    </row>
    <row r="436">
      <c r="O436" s="93"/>
    </row>
    <row r="437">
      <c r="O437" s="93"/>
    </row>
    <row r="438">
      <c r="O438" s="93"/>
    </row>
    <row r="439">
      <c r="O439" s="93"/>
    </row>
    <row r="440">
      <c r="O440" s="93"/>
    </row>
    <row r="441">
      <c r="O441" s="93"/>
    </row>
    <row r="442">
      <c r="O442" s="93"/>
    </row>
    <row r="443">
      <c r="O443" s="93"/>
    </row>
    <row r="444">
      <c r="O444" s="93"/>
    </row>
    <row r="445">
      <c r="O445" s="93"/>
    </row>
    <row r="446">
      <c r="O446" s="93"/>
    </row>
    <row r="447">
      <c r="O447" s="93"/>
    </row>
    <row r="448">
      <c r="O448" s="93"/>
    </row>
    <row r="449">
      <c r="O449" s="93"/>
    </row>
    <row r="450">
      <c r="O450" s="93"/>
    </row>
    <row r="451">
      <c r="O451" s="93"/>
    </row>
    <row r="452">
      <c r="O452" s="93"/>
    </row>
    <row r="453">
      <c r="O453" s="93"/>
    </row>
    <row r="454">
      <c r="O454" s="93"/>
    </row>
    <row r="455">
      <c r="O455" s="93"/>
    </row>
    <row r="456">
      <c r="O456" s="93"/>
    </row>
    <row r="457">
      <c r="O457" s="93"/>
    </row>
    <row r="458">
      <c r="O458" s="93"/>
    </row>
    <row r="459">
      <c r="O459" s="93"/>
    </row>
    <row r="460">
      <c r="O460" s="93"/>
    </row>
    <row r="461">
      <c r="O461" s="93"/>
    </row>
    <row r="462">
      <c r="O462" s="93"/>
    </row>
    <row r="463">
      <c r="O463" s="93"/>
    </row>
    <row r="464">
      <c r="O464" s="93"/>
    </row>
    <row r="465">
      <c r="O465" s="93"/>
    </row>
    <row r="466">
      <c r="O466" s="93"/>
    </row>
    <row r="467">
      <c r="O467" s="93"/>
    </row>
    <row r="468">
      <c r="O468" s="93"/>
    </row>
    <row r="469">
      <c r="O469" s="93"/>
    </row>
    <row r="470">
      <c r="O470" s="93"/>
    </row>
    <row r="471">
      <c r="O471" s="93"/>
    </row>
    <row r="472">
      <c r="O472" s="93"/>
    </row>
    <row r="473">
      <c r="O473" s="93"/>
    </row>
    <row r="474">
      <c r="O474" s="93"/>
    </row>
    <row r="475">
      <c r="O475" s="93"/>
    </row>
    <row r="476">
      <c r="O476" s="93"/>
    </row>
    <row r="477">
      <c r="O477" s="93"/>
    </row>
    <row r="478">
      <c r="O478" s="93"/>
    </row>
    <row r="479">
      <c r="O479" s="93"/>
    </row>
    <row r="480">
      <c r="O480" s="93"/>
    </row>
    <row r="481">
      <c r="O481" s="93"/>
    </row>
    <row r="482">
      <c r="O482" s="93"/>
    </row>
    <row r="483">
      <c r="O483" s="93"/>
    </row>
    <row r="484">
      <c r="O484" s="93"/>
    </row>
    <row r="485">
      <c r="O485" s="93"/>
    </row>
    <row r="486">
      <c r="O486" s="93"/>
    </row>
    <row r="487">
      <c r="O487" s="93"/>
    </row>
    <row r="488">
      <c r="O488" s="93"/>
    </row>
    <row r="489">
      <c r="O489" s="93"/>
    </row>
    <row r="490">
      <c r="O490" s="93"/>
    </row>
    <row r="491">
      <c r="O491" s="93"/>
    </row>
    <row r="492">
      <c r="O492" s="93"/>
    </row>
    <row r="493">
      <c r="O493" s="93"/>
    </row>
    <row r="494">
      <c r="O494" s="93"/>
    </row>
    <row r="495">
      <c r="O495" s="93"/>
    </row>
    <row r="496">
      <c r="O496" s="93"/>
    </row>
    <row r="497">
      <c r="O497" s="93"/>
    </row>
    <row r="498">
      <c r="O498" s="93"/>
    </row>
    <row r="499">
      <c r="O499" s="93"/>
    </row>
    <row r="500">
      <c r="O500" s="93"/>
    </row>
    <row r="501">
      <c r="O501" s="93"/>
    </row>
    <row r="502">
      <c r="O502" s="93"/>
    </row>
    <row r="503">
      <c r="O503" s="93"/>
    </row>
    <row r="504">
      <c r="O504" s="93"/>
    </row>
    <row r="505">
      <c r="O505" s="93"/>
    </row>
    <row r="506">
      <c r="O506" s="93"/>
    </row>
    <row r="507">
      <c r="O507" s="93"/>
    </row>
    <row r="508">
      <c r="O508" s="93"/>
    </row>
    <row r="509">
      <c r="O509" s="93"/>
    </row>
    <row r="510">
      <c r="O510" s="93"/>
    </row>
    <row r="511">
      <c r="O511" s="93"/>
    </row>
    <row r="512">
      <c r="O512" s="93"/>
    </row>
    <row r="513">
      <c r="O513" s="93"/>
    </row>
    <row r="514">
      <c r="O514" s="93"/>
    </row>
    <row r="515">
      <c r="O515" s="93"/>
    </row>
    <row r="516">
      <c r="O516" s="93"/>
    </row>
    <row r="517">
      <c r="O517" s="93"/>
    </row>
    <row r="518">
      <c r="O518" s="93"/>
    </row>
    <row r="519">
      <c r="O519" s="93"/>
    </row>
    <row r="520">
      <c r="O520" s="93"/>
    </row>
    <row r="521">
      <c r="O521" s="93"/>
    </row>
    <row r="522">
      <c r="O522" s="93"/>
    </row>
    <row r="523">
      <c r="O523" s="93"/>
    </row>
    <row r="524">
      <c r="O524" s="93"/>
    </row>
    <row r="525">
      <c r="O525" s="93"/>
    </row>
    <row r="526">
      <c r="O526" s="93"/>
    </row>
    <row r="527">
      <c r="O527" s="93"/>
    </row>
    <row r="528">
      <c r="O528" s="93"/>
    </row>
    <row r="529">
      <c r="O529" s="93"/>
    </row>
    <row r="530">
      <c r="O530" s="93"/>
    </row>
    <row r="531">
      <c r="O531" s="93"/>
    </row>
    <row r="532">
      <c r="O532" s="93"/>
    </row>
    <row r="533">
      <c r="O533" s="93"/>
    </row>
    <row r="534">
      <c r="O534" s="93"/>
    </row>
    <row r="535">
      <c r="O535" s="93"/>
    </row>
    <row r="536">
      <c r="O536" s="93"/>
    </row>
    <row r="537">
      <c r="O537" s="93"/>
    </row>
    <row r="538">
      <c r="O538" s="93"/>
    </row>
    <row r="539">
      <c r="O539" s="93"/>
    </row>
    <row r="540">
      <c r="O540" s="93"/>
    </row>
    <row r="541">
      <c r="O541" s="93"/>
    </row>
    <row r="542">
      <c r="O542" s="93"/>
    </row>
    <row r="543">
      <c r="O543" s="93"/>
    </row>
    <row r="544">
      <c r="O544" s="93"/>
    </row>
    <row r="545">
      <c r="O545" s="93"/>
    </row>
    <row r="546">
      <c r="O546" s="93"/>
    </row>
    <row r="547">
      <c r="O547" s="93"/>
    </row>
    <row r="548">
      <c r="O548" s="93"/>
    </row>
    <row r="549">
      <c r="O549" s="93"/>
    </row>
    <row r="550">
      <c r="O550" s="93"/>
    </row>
    <row r="551">
      <c r="O551" s="93"/>
    </row>
    <row r="552">
      <c r="O552" s="93"/>
    </row>
    <row r="553">
      <c r="O553" s="93"/>
    </row>
    <row r="554">
      <c r="O554" s="93"/>
    </row>
    <row r="555">
      <c r="O555" s="93"/>
    </row>
    <row r="556">
      <c r="O556" s="93"/>
    </row>
    <row r="557">
      <c r="O557" s="93"/>
    </row>
    <row r="558">
      <c r="O558" s="93"/>
    </row>
    <row r="559">
      <c r="O559" s="93"/>
    </row>
    <row r="560">
      <c r="O560" s="93"/>
    </row>
    <row r="561">
      <c r="O561" s="93"/>
    </row>
    <row r="562">
      <c r="O562" s="93"/>
    </row>
    <row r="563">
      <c r="O563" s="93"/>
    </row>
    <row r="564">
      <c r="O564" s="93"/>
    </row>
    <row r="565">
      <c r="O565" s="93"/>
    </row>
    <row r="566">
      <c r="O566" s="93"/>
    </row>
    <row r="567">
      <c r="O567" s="93"/>
    </row>
    <row r="568">
      <c r="O568" s="93"/>
    </row>
    <row r="569">
      <c r="O569" s="93"/>
    </row>
    <row r="570">
      <c r="O570" s="93"/>
    </row>
    <row r="571">
      <c r="O571" s="93"/>
    </row>
    <row r="572">
      <c r="O572" s="93"/>
    </row>
    <row r="573">
      <c r="O573" s="93"/>
    </row>
    <row r="574">
      <c r="O574" s="93"/>
    </row>
    <row r="575">
      <c r="O575" s="93"/>
    </row>
    <row r="576">
      <c r="O576" s="93"/>
    </row>
    <row r="577">
      <c r="O577" s="93"/>
    </row>
    <row r="578">
      <c r="O578" s="93"/>
    </row>
    <row r="579">
      <c r="O579" s="93"/>
    </row>
    <row r="580">
      <c r="O580" s="93"/>
    </row>
    <row r="581">
      <c r="O581" s="93"/>
    </row>
    <row r="582">
      <c r="O582" s="93"/>
    </row>
    <row r="583">
      <c r="O583" s="93"/>
    </row>
    <row r="584">
      <c r="O584" s="93"/>
    </row>
    <row r="585">
      <c r="O585" s="93"/>
    </row>
    <row r="586">
      <c r="O586" s="93"/>
    </row>
    <row r="587">
      <c r="O587" s="93"/>
    </row>
    <row r="588">
      <c r="O588" s="93"/>
    </row>
    <row r="589">
      <c r="O589" s="93"/>
    </row>
    <row r="590">
      <c r="O590" s="93"/>
    </row>
    <row r="591">
      <c r="O591" s="93"/>
    </row>
    <row r="592">
      <c r="O592" s="93"/>
    </row>
    <row r="593">
      <c r="O593" s="93"/>
    </row>
    <row r="594">
      <c r="O594" s="93"/>
    </row>
    <row r="595">
      <c r="O595" s="93"/>
    </row>
    <row r="596">
      <c r="O596" s="93"/>
    </row>
    <row r="597">
      <c r="O597" s="93"/>
    </row>
    <row r="598">
      <c r="O598" s="93"/>
    </row>
    <row r="599">
      <c r="O599" s="93"/>
    </row>
    <row r="600">
      <c r="O600" s="93"/>
    </row>
    <row r="601">
      <c r="O601" s="93"/>
    </row>
    <row r="602">
      <c r="O602" s="93"/>
    </row>
    <row r="603">
      <c r="O603" s="93"/>
    </row>
    <row r="604">
      <c r="O604" s="93"/>
    </row>
    <row r="605">
      <c r="O605" s="93"/>
    </row>
    <row r="606">
      <c r="O606" s="93"/>
    </row>
    <row r="607">
      <c r="O607" s="93"/>
    </row>
    <row r="608">
      <c r="O608" s="93"/>
    </row>
    <row r="609">
      <c r="O609" s="93"/>
    </row>
    <row r="610">
      <c r="O610" s="93"/>
    </row>
    <row r="611">
      <c r="O611" s="93"/>
    </row>
    <row r="612">
      <c r="O612" s="93"/>
    </row>
    <row r="613">
      <c r="O613" s="93"/>
    </row>
    <row r="614">
      <c r="O614" s="93"/>
    </row>
    <row r="615">
      <c r="O615" s="93"/>
    </row>
    <row r="616">
      <c r="O616" s="93"/>
    </row>
    <row r="617">
      <c r="O617" s="93"/>
    </row>
    <row r="618">
      <c r="O618" s="93"/>
    </row>
    <row r="619">
      <c r="O619" s="93"/>
    </row>
    <row r="620">
      <c r="O620" s="93"/>
    </row>
    <row r="621">
      <c r="O621" s="93"/>
    </row>
    <row r="622">
      <c r="O622" s="93"/>
    </row>
    <row r="623">
      <c r="O623" s="93"/>
    </row>
    <row r="624">
      <c r="O624" s="93"/>
    </row>
    <row r="625">
      <c r="O625" s="93"/>
    </row>
    <row r="626">
      <c r="O626" s="93"/>
    </row>
    <row r="627">
      <c r="O627" s="93"/>
    </row>
    <row r="628">
      <c r="O628" s="93"/>
    </row>
    <row r="629">
      <c r="O629" s="93"/>
    </row>
    <row r="630">
      <c r="O630" s="93"/>
    </row>
    <row r="631">
      <c r="O631" s="93"/>
    </row>
    <row r="632">
      <c r="O632" s="93"/>
    </row>
    <row r="633">
      <c r="O633" s="93"/>
    </row>
    <row r="634">
      <c r="O634" s="93"/>
    </row>
    <row r="635">
      <c r="O635" s="93"/>
    </row>
    <row r="636">
      <c r="O636" s="93"/>
    </row>
    <row r="637">
      <c r="O637" s="93"/>
    </row>
    <row r="638">
      <c r="O638" s="93"/>
    </row>
    <row r="639">
      <c r="O639" s="93"/>
    </row>
    <row r="640">
      <c r="O640" s="93"/>
    </row>
    <row r="641">
      <c r="O641" s="93"/>
    </row>
    <row r="642">
      <c r="O642" s="93"/>
    </row>
    <row r="643">
      <c r="O643" s="93"/>
    </row>
    <row r="644">
      <c r="O644" s="93"/>
    </row>
    <row r="645">
      <c r="O645" s="93"/>
    </row>
    <row r="646">
      <c r="O646" s="93"/>
    </row>
    <row r="647">
      <c r="O647" s="93"/>
    </row>
    <row r="648">
      <c r="O648" s="93"/>
    </row>
    <row r="649">
      <c r="O649" s="93"/>
    </row>
    <row r="650">
      <c r="O650" s="93"/>
    </row>
    <row r="651">
      <c r="O651" s="93"/>
    </row>
    <row r="652">
      <c r="O652" s="93"/>
    </row>
    <row r="653">
      <c r="O653" s="93"/>
    </row>
    <row r="654">
      <c r="O654" s="93"/>
    </row>
    <row r="655">
      <c r="O655" s="93"/>
    </row>
    <row r="656">
      <c r="O656" s="93"/>
    </row>
    <row r="657">
      <c r="O657" s="93"/>
    </row>
    <row r="658">
      <c r="O658" s="93"/>
    </row>
    <row r="659">
      <c r="O659" s="93"/>
    </row>
    <row r="660">
      <c r="O660" s="93"/>
    </row>
    <row r="661">
      <c r="O661" s="93"/>
    </row>
    <row r="662">
      <c r="O662" s="93"/>
    </row>
    <row r="663">
      <c r="O663" s="93"/>
    </row>
    <row r="664">
      <c r="O664" s="93"/>
    </row>
    <row r="665">
      <c r="O665" s="93"/>
    </row>
    <row r="666">
      <c r="O666" s="93"/>
    </row>
    <row r="667">
      <c r="O667" s="93"/>
    </row>
    <row r="668">
      <c r="O668" s="93"/>
    </row>
    <row r="669">
      <c r="O669" s="93"/>
    </row>
    <row r="670">
      <c r="O670" s="93"/>
    </row>
    <row r="671">
      <c r="O671" s="93"/>
    </row>
    <row r="672">
      <c r="O672" s="93"/>
    </row>
    <row r="673">
      <c r="O673" s="93"/>
    </row>
    <row r="674">
      <c r="O674" s="93"/>
    </row>
    <row r="675">
      <c r="O675" s="93"/>
    </row>
    <row r="676">
      <c r="O676" s="93"/>
    </row>
    <row r="677">
      <c r="O677" s="93"/>
    </row>
    <row r="678">
      <c r="O678" s="93"/>
    </row>
    <row r="679">
      <c r="O679" s="93"/>
    </row>
    <row r="680">
      <c r="O680" s="93"/>
    </row>
    <row r="681">
      <c r="O681" s="93"/>
    </row>
    <row r="682">
      <c r="O682" s="93"/>
    </row>
    <row r="683">
      <c r="O683" s="93"/>
    </row>
    <row r="684">
      <c r="O684" s="93"/>
    </row>
    <row r="685">
      <c r="O685" s="93"/>
    </row>
    <row r="686">
      <c r="O686" s="93"/>
    </row>
    <row r="687">
      <c r="O687" s="93"/>
    </row>
    <row r="688">
      <c r="O688" s="93"/>
    </row>
    <row r="689">
      <c r="O689" s="93"/>
    </row>
    <row r="690">
      <c r="O690" s="93"/>
    </row>
    <row r="691">
      <c r="O691" s="93"/>
    </row>
    <row r="692">
      <c r="O692" s="93"/>
    </row>
    <row r="693">
      <c r="O693" s="93"/>
    </row>
    <row r="694">
      <c r="O694" s="93"/>
    </row>
    <row r="695">
      <c r="O695" s="93"/>
    </row>
    <row r="696">
      <c r="O696" s="93"/>
    </row>
    <row r="697">
      <c r="O697" s="93"/>
    </row>
    <row r="698">
      <c r="O698" s="93"/>
    </row>
    <row r="699">
      <c r="O699" s="93"/>
    </row>
    <row r="700">
      <c r="O700" s="93"/>
    </row>
    <row r="701">
      <c r="O701" s="93"/>
    </row>
    <row r="702">
      <c r="O702" s="93"/>
    </row>
    <row r="703">
      <c r="O703" s="93"/>
    </row>
    <row r="704">
      <c r="O704" s="93"/>
    </row>
    <row r="705">
      <c r="O705" s="93"/>
    </row>
    <row r="706">
      <c r="O706" s="93"/>
    </row>
    <row r="707">
      <c r="O707" s="93"/>
    </row>
    <row r="708">
      <c r="O708" s="93"/>
    </row>
    <row r="709">
      <c r="O709" s="93"/>
    </row>
    <row r="710">
      <c r="O710" s="93"/>
    </row>
    <row r="711">
      <c r="O711" s="93"/>
    </row>
    <row r="712">
      <c r="O712" s="93"/>
    </row>
    <row r="713">
      <c r="O713" s="93"/>
    </row>
    <row r="714">
      <c r="O714" s="93"/>
    </row>
    <row r="715">
      <c r="O715" s="93"/>
    </row>
    <row r="716">
      <c r="O716" s="93"/>
    </row>
    <row r="717">
      <c r="O717" s="93"/>
    </row>
    <row r="718">
      <c r="O718" s="93"/>
    </row>
    <row r="719">
      <c r="O719" s="93"/>
    </row>
    <row r="720">
      <c r="O720" s="93"/>
    </row>
    <row r="721">
      <c r="O721" s="93"/>
    </row>
    <row r="722">
      <c r="O722" s="93"/>
    </row>
    <row r="723">
      <c r="O723" s="93"/>
    </row>
    <row r="724">
      <c r="O724" s="93"/>
    </row>
    <row r="725">
      <c r="O725" s="93"/>
    </row>
    <row r="726">
      <c r="O726" s="93"/>
    </row>
    <row r="727">
      <c r="O727" s="93"/>
    </row>
    <row r="728">
      <c r="O728" s="93"/>
    </row>
    <row r="729">
      <c r="O729" s="93"/>
    </row>
    <row r="730">
      <c r="O730" s="93"/>
    </row>
    <row r="731">
      <c r="O731" s="93"/>
    </row>
    <row r="732">
      <c r="O732" s="93"/>
    </row>
    <row r="733">
      <c r="O733" s="93"/>
    </row>
    <row r="734">
      <c r="O734" s="93"/>
    </row>
    <row r="735">
      <c r="O735" s="93"/>
    </row>
    <row r="736">
      <c r="O736" s="93"/>
    </row>
    <row r="737">
      <c r="O737" s="93"/>
    </row>
    <row r="738">
      <c r="O738" s="93"/>
    </row>
    <row r="739">
      <c r="O739" s="93"/>
    </row>
    <row r="740">
      <c r="O740" s="93"/>
    </row>
    <row r="741">
      <c r="O741" s="93"/>
    </row>
    <row r="742">
      <c r="O742" s="93"/>
    </row>
    <row r="743">
      <c r="O743" s="93"/>
    </row>
    <row r="744">
      <c r="O744" s="93"/>
    </row>
    <row r="745">
      <c r="O745" s="93"/>
    </row>
    <row r="746">
      <c r="O746" s="93"/>
    </row>
    <row r="747">
      <c r="O747" s="93"/>
    </row>
    <row r="748">
      <c r="O748" s="93"/>
    </row>
    <row r="749">
      <c r="O749" s="93"/>
    </row>
    <row r="750">
      <c r="O750" s="93"/>
    </row>
    <row r="751">
      <c r="O751" s="93"/>
    </row>
    <row r="752">
      <c r="O752" s="93"/>
    </row>
    <row r="753">
      <c r="O753" s="93"/>
    </row>
    <row r="754">
      <c r="O754" s="93"/>
    </row>
    <row r="755">
      <c r="O755" s="93"/>
    </row>
    <row r="756">
      <c r="O756" s="93"/>
    </row>
    <row r="757">
      <c r="O757" s="93"/>
    </row>
    <row r="758">
      <c r="O758" s="93"/>
    </row>
    <row r="759">
      <c r="O759" s="93"/>
    </row>
    <row r="760">
      <c r="O760" s="93"/>
    </row>
    <row r="761">
      <c r="O761" s="93"/>
    </row>
    <row r="762">
      <c r="O762" s="93"/>
    </row>
    <row r="763">
      <c r="O763" s="93"/>
    </row>
    <row r="764">
      <c r="O764" s="93"/>
    </row>
    <row r="765">
      <c r="O765" s="93"/>
    </row>
    <row r="766">
      <c r="O766" s="93"/>
    </row>
    <row r="767">
      <c r="O767" s="93"/>
    </row>
    <row r="768">
      <c r="O768" s="93"/>
    </row>
    <row r="769">
      <c r="O769" s="93"/>
    </row>
    <row r="770">
      <c r="O770" s="93"/>
    </row>
    <row r="771">
      <c r="O771" s="93"/>
    </row>
    <row r="772">
      <c r="O772" s="93"/>
    </row>
    <row r="773">
      <c r="O773" s="93"/>
    </row>
    <row r="774">
      <c r="O774" s="93"/>
    </row>
    <row r="775">
      <c r="O775" s="93"/>
    </row>
    <row r="776">
      <c r="O776" s="93"/>
    </row>
    <row r="777">
      <c r="O777" s="93"/>
    </row>
    <row r="778">
      <c r="O778" s="93"/>
    </row>
    <row r="779">
      <c r="O779" s="93"/>
    </row>
    <row r="780">
      <c r="O780" s="93"/>
    </row>
    <row r="781">
      <c r="O781" s="93"/>
    </row>
    <row r="782">
      <c r="O782" s="93"/>
    </row>
    <row r="783">
      <c r="O783" s="93"/>
    </row>
    <row r="784">
      <c r="O784" s="93"/>
    </row>
    <row r="785">
      <c r="O785" s="93"/>
    </row>
    <row r="786">
      <c r="O786" s="93"/>
    </row>
    <row r="787">
      <c r="O787" s="93"/>
    </row>
    <row r="788">
      <c r="O788" s="93"/>
    </row>
    <row r="789">
      <c r="O789" s="93"/>
    </row>
    <row r="790">
      <c r="O790" s="93"/>
    </row>
    <row r="791">
      <c r="O791" s="93"/>
    </row>
    <row r="792">
      <c r="O792" s="93"/>
    </row>
    <row r="793">
      <c r="O793" s="93"/>
    </row>
    <row r="794">
      <c r="O794" s="93"/>
    </row>
    <row r="795">
      <c r="O795" s="93"/>
    </row>
    <row r="796">
      <c r="O796" s="93"/>
    </row>
    <row r="797">
      <c r="O797" s="93"/>
    </row>
    <row r="798">
      <c r="O798" s="93"/>
    </row>
    <row r="799">
      <c r="O799" s="93"/>
    </row>
    <row r="800">
      <c r="O800" s="93"/>
    </row>
    <row r="801">
      <c r="O801" s="93"/>
    </row>
    <row r="802">
      <c r="O802" s="93"/>
    </row>
    <row r="803">
      <c r="O803" s="93"/>
    </row>
    <row r="804">
      <c r="O804" s="93"/>
    </row>
    <row r="805">
      <c r="O805" s="93"/>
    </row>
    <row r="806">
      <c r="O806" s="93"/>
    </row>
    <row r="807">
      <c r="O807" s="93"/>
    </row>
    <row r="808">
      <c r="O808" s="93"/>
    </row>
    <row r="809">
      <c r="O809" s="93"/>
    </row>
    <row r="810">
      <c r="O810" s="93"/>
    </row>
    <row r="811">
      <c r="O811" s="93"/>
    </row>
    <row r="812">
      <c r="O812" s="93"/>
    </row>
    <row r="813">
      <c r="O813" s="93"/>
    </row>
    <row r="814">
      <c r="O814" s="93"/>
    </row>
    <row r="815">
      <c r="O815" s="93"/>
    </row>
    <row r="816">
      <c r="O816" s="93"/>
    </row>
    <row r="817">
      <c r="O817" s="93"/>
    </row>
    <row r="818">
      <c r="O818" s="93"/>
    </row>
    <row r="819">
      <c r="O819" s="93"/>
    </row>
    <row r="820">
      <c r="O820" s="93"/>
    </row>
    <row r="821">
      <c r="O821" s="93"/>
    </row>
    <row r="822">
      <c r="O822" s="93"/>
    </row>
    <row r="823">
      <c r="O823" s="93"/>
    </row>
    <row r="824">
      <c r="O824" s="93"/>
    </row>
    <row r="825">
      <c r="O825" s="93"/>
    </row>
    <row r="826">
      <c r="O826" s="93"/>
    </row>
    <row r="827">
      <c r="O827" s="93"/>
    </row>
    <row r="828">
      <c r="O828" s="93"/>
    </row>
    <row r="829">
      <c r="O829" s="93"/>
    </row>
    <row r="830">
      <c r="O830" s="93"/>
    </row>
    <row r="831">
      <c r="O831" s="93"/>
    </row>
    <row r="832">
      <c r="O832" s="93"/>
    </row>
    <row r="833">
      <c r="O833" s="93"/>
    </row>
    <row r="834">
      <c r="O834" s="93"/>
    </row>
    <row r="835">
      <c r="O835" s="93"/>
    </row>
    <row r="836">
      <c r="O836" s="93"/>
    </row>
    <row r="837">
      <c r="O837" s="93"/>
    </row>
    <row r="838">
      <c r="O838" s="93"/>
    </row>
    <row r="839">
      <c r="O839" s="93"/>
    </row>
    <row r="840">
      <c r="O840" s="93"/>
    </row>
    <row r="841">
      <c r="O841" s="93"/>
    </row>
    <row r="842">
      <c r="O842" s="93"/>
    </row>
    <row r="843">
      <c r="O843" s="93"/>
    </row>
    <row r="844">
      <c r="O844" s="93"/>
    </row>
    <row r="845">
      <c r="O845" s="93"/>
    </row>
    <row r="846">
      <c r="O846" s="93"/>
    </row>
    <row r="847">
      <c r="O847" s="93"/>
    </row>
    <row r="848">
      <c r="O848" s="93"/>
    </row>
    <row r="849">
      <c r="O849" s="93"/>
    </row>
    <row r="850">
      <c r="O850" s="93"/>
    </row>
    <row r="851">
      <c r="O851" s="93"/>
    </row>
    <row r="852">
      <c r="O852" s="93"/>
    </row>
    <row r="853">
      <c r="O853" s="93"/>
    </row>
    <row r="854">
      <c r="O854" s="93"/>
    </row>
    <row r="855">
      <c r="O855" s="93"/>
    </row>
    <row r="856">
      <c r="O856" s="93"/>
    </row>
    <row r="857">
      <c r="O857" s="93"/>
    </row>
    <row r="858">
      <c r="O858" s="93"/>
    </row>
    <row r="859">
      <c r="O859" s="93"/>
    </row>
    <row r="860">
      <c r="O860" s="93"/>
    </row>
    <row r="861">
      <c r="O861" s="93"/>
    </row>
    <row r="862">
      <c r="O862" s="93"/>
    </row>
    <row r="863">
      <c r="O863" s="93"/>
    </row>
    <row r="864">
      <c r="O864" s="93"/>
    </row>
    <row r="865">
      <c r="O865" s="93"/>
    </row>
    <row r="866">
      <c r="O866" s="93"/>
    </row>
    <row r="867">
      <c r="O867" s="93"/>
    </row>
    <row r="868">
      <c r="O868" s="93"/>
    </row>
    <row r="869">
      <c r="O869" s="93"/>
    </row>
    <row r="870">
      <c r="O870" s="93"/>
    </row>
    <row r="871">
      <c r="O871" s="93"/>
    </row>
    <row r="872">
      <c r="O872" s="93"/>
    </row>
    <row r="873">
      <c r="O873" s="93"/>
    </row>
    <row r="874">
      <c r="O874" s="93"/>
    </row>
    <row r="875">
      <c r="O875" s="93"/>
    </row>
    <row r="876">
      <c r="O876" s="93"/>
    </row>
    <row r="877">
      <c r="O877" s="93"/>
    </row>
    <row r="878">
      <c r="O878" s="93"/>
    </row>
    <row r="879">
      <c r="O879" s="93"/>
    </row>
    <row r="880">
      <c r="O880" s="93"/>
    </row>
    <row r="881">
      <c r="O881" s="93"/>
    </row>
    <row r="882">
      <c r="O882" s="93"/>
    </row>
    <row r="883">
      <c r="O883" s="93"/>
    </row>
    <row r="884">
      <c r="O884" s="93"/>
    </row>
    <row r="885">
      <c r="O885" s="93"/>
    </row>
    <row r="886">
      <c r="O886" s="93"/>
    </row>
    <row r="887">
      <c r="O887" s="93"/>
    </row>
    <row r="888">
      <c r="O888" s="93"/>
    </row>
    <row r="889">
      <c r="O889" s="93"/>
    </row>
    <row r="890">
      <c r="O890" s="93"/>
    </row>
    <row r="891">
      <c r="O891" s="93"/>
    </row>
    <row r="892">
      <c r="O892" s="93"/>
    </row>
    <row r="893">
      <c r="O893" s="93"/>
    </row>
    <row r="894">
      <c r="O894" s="93"/>
    </row>
    <row r="895">
      <c r="O895" s="93"/>
    </row>
    <row r="896">
      <c r="O896" s="93"/>
    </row>
    <row r="897">
      <c r="O897" s="93"/>
    </row>
    <row r="898">
      <c r="O898" s="93"/>
    </row>
    <row r="899">
      <c r="O899" s="93"/>
    </row>
    <row r="900">
      <c r="O900" s="93"/>
    </row>
    <row r="901">
      <c r="O901" s="93"/>
    </row>
    <row r="902">
      <c r="O902" s="93"/>
    </row>
    <row r="903">
      <c r="O903" s="93"/>
    </row>
    <row r="904">
      <c r="O904" s="93"/>
    </row>
    <row r="905">
      <c r="O905" s="93"/>
    </row>
    <row r="906">
      <c r="O906" s="93"/>
    </row>
    <row r="907">
      <c r="O907" s="93"/>
    </row>
    <row r="908">
      <c r="O908" s="93"/>
    </row>
    <row r="909">
      <c r="O909" s="93"/>
    </row>
    <row r="910">
      <c r="O910" s="93"/>
    </row>
    <row r="911">
      <c r="O911" s="93"/>
    </row>
    <row r="912">
      <c r="O912" s="93"/>
    </row>
    <row r="913">
      <c r="O913" s="93"/>
    </row>
    <row r="914">
      <c r="O914" s="93"/>
    </row>
    <row r="915">
      <c r="O915" s="93"/>
    </row>
    <row r="916">
      <c r="O916" s="93"/>
    </row>
    <row r="917">
      <c r="O917" s="93"/>
    </row>
    <row r="918">
      <c r="O918" s="93"/>
    </row>
    <row r="919">
      <c r="O919" s="93"/>
    </row>
    <row r="920">
      <c r="O920" s="93"/>
    </row>
    <row r="921">
      <c r="O921" s="93"/>
    </row>
    <row r="922">
      <c r="O922" s="93"/>
    </row>
    <row r="923">
      <c r="O923" s="93"/>
    </row>
    <row r="924">
      <c r="O924" s="93"/>
    </row>
    <row r="925">
      <c r="O925" s="93"/>
    </row>
    <row r="926">
      <c r="O926" s="93"/>
    </row>
    <row r="927">
      <c r="O927" s="93"/>
    </row>
    <row r="928">
      <c r="O928" s="93"/>
    </row>
    <row r="929">
      <c r="O929" s="93"/>
    </row>
    <row r="930">
      <c r="O930" s="93"/>
    </row>
    <row r="931">
      <c r="O931" s="93"/>
    </row>
    <row r="932">
      <c r="O932" s="93"/>
    </row>
    <row r="933">
      <c r="O933" s="93"/>
    </row>
    <row r="934">
      <c r="O934" s="93"/>
    </row>
    <row r="935">
      <c r="O935" s="93"/>
    </row>
    <row r="936">
      <c r="O936" s="93"/>
    </row>
    <row r="937">
      <c r="O937" s="93"/>
    </row>
    <row r="938">
      <c r="O938" s="93"/>
    </row>
    <row r="939">
      <c r="O939" s="93"/>
    </row>
    <row r="940">
      <c r="O940" s="93"/>
    </row>
    <row r="941">
      <c r="O941" s="93"/>
    </row>
    <row r="942">
      <c r="O942" s="93"/>
    </row>
    <row r="943">
      <c r="O943" s="93"/>
    </row>
    <row r="944">
      <c r="O944" s="93"/>
    </row>
    <row r="945">
      <c r="O945" s="93"/>
    </row>
    <row r="946">
      <c r="O946" s="93"/>
    </row>
    <row r="947">
      <c r="O947" s="93"/>
    </row>
    <row r="948">
      <c r="O948" s="93"/>
    </row>
    <row r="949">
      <c r="O949" s="93"/>
    </row>
    <row r="950">
      <c r="O950" s="93"/>
    </row>
    <row r="951">
      <c r="O951" s="93"/>
    </row>
    <row r="952">
      <c r="O952" s="93"/>
    </row>
    <row r="953">
      <c r="O953" s="93"/>
    </row>
    <row r="954">
      <c r="O954" s="93"/>
    </row>
    <row r="955">
      <c r="O955" s="93"/>
    </row>
    <row r="956">
      <c r="O956" s="93"/>
    </row>
    <row r="957">
      <c r="O957" s="93"/>
    </row>
    <row r="958">
      <c r="O958" s="93"/>
    </row>
    <row r="959">
      <c r="O959" s="93"/>
    </row>
    <row r="960">
      <c r="O960" s="93"/>
    </row>
    <row r="961">
      <c r="O961" s="93"/>
    </row>
    <row r="962">
      <c r="O962" s="93"/>
    </row>
    <row r="963">
      <c r="O963" s="93"/>
    </row>
    <row r="964">
      <c r="O964" s="93"/>
    </row>
    <row r="965">
      <c r="O965" s="93"/>
    </row>
    <row r="966">
      <c r="O966" s="93"/>
    </row>
    <row r="967">
      <c r="O967" s="93"/>
    </row>
    <row r="968">
      <c r="O968" s="93"/>
    </row>
    <row r="969">
      <c r="O969" s="93"/>
    </row>
    <row r="970">
      <c r="O970" s="93"/>
    </row>
    <row r="971">
      <c r="O971" s="93"/>
    </row>
    <row r="972">
      <c r="O972" s="93"/>
    </row>
    <row r="973">
      <c r="O973" s="93"/>
    </row>
    <row r="974">
      <c r="O974" s="93"/>
    </row>
    <row r="975">
      <c r="O975" s="93"/>
    </row>
    <row r="976">
      <c r="O976" s="93"/>
    </row>
    <row r="977">
      <c r="O977" s="93"/>
    </row>
    <row r="978">
      <c r="O978" s="93"/>
    </row>
    <row r="979">
      <c r="O979" s="93"/>
    </row>
    <row r="980">
      <c r="O980" s="93"/>
    </row>
    <row r="981">
      <c r="O981" s="93"/>
    </row>
    <row r="982">
      <c r="O982" s="93"/>
    </row>
    <row r="983">
      <c r="O983" s="93"/>
    </row>
    <row r="984">
      <c r="O984" s="93"/>
    </row>
    <row r="985">
      <c r="O985" s="93"/>
    </row>
    <row r="986">
      <c r="O986" s="93"/>
    </row>
    <row r="987">
      <c r="O987" s="93"/>
    </row>
    <row r="988">
      <c r="O988" s="93"/>
    </row>
    <row r="989">
      <c r="O989" s="93"/>
    </row>
    <row r="990">
      <c r="O990" s="93"/>
    </row>
    <row r="991">
      <c r="O991" s="93"/>
    </row>
    <row r="992">
      <c r="O992" s="93"/>
    </row>
    <row r="993">
      <c r="O993" s="93"/>
    </row>
    <row r="994">
      <c r="O994" s="93"/>
    </row>
    <row r="995">
      <c r="O995" s="93"/>
    </row>
    <row r="996">
      <c r="O996" s="93"/>
    </row>
    <row r="997">
      <c r="O997" s="93"/>
    </row>
    <row r="998">
      <c r="O998" s="93"/>
    </row>
    <row r="999">
      <c r="O999" s="93"/>
    </row>
    <row r="1000">
      <c r="O1000" s="93"/>
    </row>
  </sheetData>
  <mergeCells count="4">
    <mergeCell ref="A1:B1"/>
    <mergeCell ref="E1:G1"/>
    <mergeCell ref="A5:B5"/>
    <mergeCell ref="P8:S8"/>
  </mergeCells>
  <conditionalFormatting sqref="O11:O1000">
    <cfRule type="expression" dxfId="5" priority="1">
      <formula>$O11&lt;TODAY()</formula>
    </cfRule>
  </conditionalFormatting>
  <conditionalFormatting sqref="A11:S99">
    <cfRule type="expression" dxfId="6" priority="2">
      <formula>$A11=false</formula>
    </cfRule>
  </conditionalFormatting>
  <conditionalFormatting sqref="I11:I1000 K11:K1000">
    <cfRule type="expression" dxfId="7" priority="3">
      <formula>$B11=TRUE</formula>
    </cfRule>
  </conditionalFormatting>
  <dataValidations>
    <dataValidation type="list" allowBlank="1" sqref="F11:F99 H11:H99 J11:J99">
      <formula1>"FIRE STICK,ROKU,ANDROID"</formula1>
    </dataValidation>
    <dataValidation type="custom" allowBlank="1" showDropDown="1" sqref="M11:M99 O11:O99">
      <formula1>OR(NOT(ISERROR(DATEVALUE(M11))), AND(ISNUMBER(M11), LEFT(CELL("format", M11))="D"))</formula1>
    </dataValidation>
    <dataValidation type="custom" allowBlank="1" showDropDown="1" sqref="N11:N99 P11:P99">
      <formula1>AND(ISNUMBER(N11),(NOT(OR(NOT(ISERROR(DATEVALUE(N11))), AND(ISNUMBER(N11), LEFT(CELL("format", N11))="D")))))</formula1>
    </dataValidation>
    <dataValidation allowBlank="1" showDropDown="1" sqref="C11:E99 L11:L99"/>
  </dataValidations>
  <drawing r:id="rId1"/>
  <tableParts count="1">
    <tablePart r:id="rId3"/>
  </tableParts>
</worksheet>
</file>